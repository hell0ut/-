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Університет\Алгоритмізація та програмування\Лабораторні роботи\Excel\"/>
    </mc:Choice>
  </mc:AlternateContent>
  <bookViews>
    <workbookView xWindow="0" yWindow="0" windowWidth="23016" windowHeight="9168" activeTab="1"/>
  </bookViews>
  <sheets>
    <sheet name="Лист4" sheetId="4" r:id="rId1"/>
    <sheet name="Лист5" sheetId="5" r:id="rId2"/>
    <sheet name="Лист1" sheetId="1" r:id="rId3"/>
    <sheet name="Лист2" sheetId="2" r:id="rId4"/>
    <sheet name="Лист3" sheetId="3" r:id="rId5"/>
  </sheets>
  <definedNames>
    <definedName name="_xlnm._FilterDatabase" localSheetId="4" hidden="1">Лист3!$A$1:$F$52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3" l="1"/>
  <c r="E53" i="3"/>
  <c r="F50" i="3"/>
  <c r="E50" i="3"/>
  <c r="F47" i="3"/>
  <c r="E47" i="3"/>
  <c r="F44" i="3"/>
  <c r="E44" i="3"/>
  <c r="F41" i="3"/>
  <c r="E41" i="3"/>
  <c r="F39" i="3"/>
  <c r="E39" i="3"/>
  <c r="E45" i="3" s="1"/>
  <c r="F36" i="3"/>
  <c r="E36" i="3"/>
  <c r="F33" i="3"/>
  <c r="E33" i="3"/>
  <c r="F30" i="3"/>
  <c r="E30" i="3"/>
  <c r="F28" i="3"/>
  <c r="E28" i="3"/>
  <c r="F25" i="3"/>
  <c r="F34" i="3" s="1"/>
  <c r="E25" i="3"/>
  <c r="E34" i="3" s="1"/>
  <c r="F22" i="3"/>
  <c r="E22" i="3"/>
  <c r="F19" i="3"/>
  <c r="E19" i="3"/>
  <c r="F17" i="3"/>
  <c r="E17" i="3"/>
  <c r="F15" i="3"/>
  <c r="F23" i="3" s="1"/>
  <c r="E15" i="3"/>
  <c r="E23" i="3" s="1"/>
  <c r="F11" i="3"/>
  <c r="E11" i="3"/>
  <c r="F9" i="3"/>
  <c r="E9" i="3"/>
  <c r="F5" i="3"/>
  <c r="E5" i="3"/>
  <c r="F3" i="3"/>
  <c r="E3" i="3"/>
  <c r="F12" i="3"/>
  <c r="E12" i="3"/>
  <c r="E28" i="2"/>
  <c r="F44" i="2"/>
  <c r="E44" i="2"/>
  <c r="F41" i="2"/>
  <c r="E41" i="2"/>
  <c r="F37" i="2"/>
  <c r="E37" i="2"/>
  <c r="F35" i="2"/>
  <c r="E35" i="2"/>
  <c r="F31" i="2"/>
  <c r="E31" i="2"/>
  <c r="F28" i="2"/>
  <c r="F26" i="2"/>
  <c r="E26" i="2"/>
  <c r="F22" i="2"/>
  <c r="E22" i="2"/>
  <c r="E29" i="2" s="1"/>
  <c r="F18" i="2"/>
  <c r="E18" i="2"/>
  <c r="F13" i="2"/>
  <c r="E13" i="2"/>
  <c r="F9" i="2"/>
  <c r="E9" i="2"/>
  <c r="F3" i="2"/>
  <c r="E3" i="2"/>
  <c r="F14" i="2"/>
  <c r="E14" i="2"/>
  <c r="F14" i="1"/>
  <c r="F29" i="3"/>
  <c r="F43" i="3"/>
  <c r="F27" i="3"/>
  <c r="F8" i="3"/>
  <c r="F26" i="3"/>
  <c r="F14" i="3"/>
  <c r="F10" i="3"/>
  <c r="F35" i="3"/>
  <c r="F52" i="3"/>
  <c r="F4" i="3"/>
  <c r="F7" i="3"/>
  <c r="F13" i="3"/>
  <c r="F40" i="3"/>
  <c r="F24" i="3"/>
  <c r="F51" i="3"/>
  <c r="F18" i="3"/>
  <c r="F49" i="3"/>
  <c r="F2" i="3"/>
  <c r="F32" i="3"/>
  <c r="F48" i="3"/>
  <c r="F21" i="3"/>
  <c r="F38" i="3"/>
  <c r="F20" i="3"/>
  <c r="F37" i="3"/>
  <c r="F42" i="3"/>
  <c r="F16" i="3"/>
  <c r="F31" i="3"/>
  <c r="F6" i="3"/>
  <c r="F46" i="3"/>
  <c r="F8" i="2"/>
  <c r="F34" i="2"/>
  <c r="F7" i="2"/>
  <c r="F43" i="2"/>
  <c r="F6" i="2"/>
  <c r="F40" i="2"/>
  <c r="F12" i="2"/>
  <c r="F33" i="2"/>
  <c r="F2" i="2"/>
  <c r="F11" i="2"/>
  <c r="F10" i="2"/>
  <c r="F25" i="2"/>
  <c r="F21" i="2"/>
  <c r="F5" i="2"/>
  <c r="F17" i="2"/>
  <c r="F24" i="2"/>
  <c r="F30" i="2"/>
  <c r="F27" i="2"/>
  <c r="F36" i="2"/>
  <c r="F16" i="2"/>
  <c r="F39" i="2"/>
  <c r="F20" i="2"/>
  <c r="F38" i="2"/>
  <c r="F19" i="2"/>
  <c r="F32" i="2"/>
  <c r="F23" i="2"/>
  <c r="F4" i="2"/>
  <c r="F42" i="2"/>
  <c r="F15" i="2"/>
  <c r="F11" i="1"/>
  <c r="F27" i="1"/>
  <c r="F20" i="1"/>
  <c r="F5" i="1"/>
  <c r="F16" i="1"/>
  <c r="F9" i="1"/>
  <c r="F15" i="1"/>
  <c r="F8" i="1"/>
  <c r="F13" i="1"/>
  <c r="F6" i="1"/>
  <c r="F21" i="1"/>
  <c r="F2" i="1"/>
  <c r="F18" i="1"/>
  <c r="F12" i="1"/>
  <c r="F24" i="1"/>
  <c r="F17" i="1"/>
  <c r="F19" i="1"/>
  <c r="F28" i="1"/>
  <c r="F30" i="1"/>
  <c r="F22" i="1"/>
  <c r="F4" i="1"/>
  <c r="F29" i="1"/>
  <c r="F7" i="1"/>
  <c r="F26" i="1"/>
  <c r="F10" i="1"/>
  <c r="F25" i="1"/>
  <c r="F3" i="1"/>
  <c r="F23" i="1"/>
  <c r="E54" i="3" l="1"/>
  <c r="F54" i="3"/>
  <c r="F45" i="3"/>
  <c r="F55" i="3" s="1"/>
  <c r="E55" i="3"/>
  <c r="E45" i="2"/>
  <c r="F45" i="2"/>
  <c r="F29" i="2"/>
  <c r="F46" i="2" s="1"/>
  <c r="E46" i="2"/>
</calcChain>
</file>

<file path=xl/sharedStrings.xml><?xml version="1.0" encoding="utf-8"?>
<sst xmlns="http://schemas.openxmlformats.org/spreadsheetml/2006/main" count="260" uniqueCount="34">
  <si>
    <t>Дата</t>
  </si>
  <si>
    <t>Продавець</t>
  </si>
  <si>
    <t>Товар</t>
  </si>
  <si>
    <t>Ціна</t>
  </si>
  <si>
    <t>Кількість</t>
  </si>
  <si>
    <t>Варітсть</t>
  </si>
  <si>
    <t>Данилюк</t>
  </si>
  <si>
    <t>Тимченко</t>
  </si>
  <si>
    <t>Шулєнін</t>
  </si>
  <si>
    <t>Садовська</t>
  </si>
  <si>
    <t>Вазон</t>
  </si>
  <si>
    <t>Телефон</t>
  </si>
  <si>
    <t>Драбина</t>
  </si>
  <si>
    <t>Стілець</t>
  </si>
  <si>
    <t>Вода</t>
  </si>
  <si>
    <t>01.10.2019 Итог</t>
  </si>
  <si>
    <t>04.10.2019 Итог</t>
  </si>
  <si>
    <t>29.09.2019 Итог</t>
  </si>
  <si>
    <t>Общий итог</t>
  </si>
  <si>
    <t>Вазон Итог</t>
  </si>
  <si>
    <t>Драбина Итог</t>
  </si>
  <si>
    <t>Телефон Итог</t>
  </si>
  <si>
    <t>Вода Итог</t>
  </si>
  <si>
    <t>Стілець Итог</t>
  </si>
  <si>
    <t>Данилюк Итог</t>
  </si>
  <si>
    <t>Садовська Итог</t>
  </si>
  <si>
    <t>Тимченко Итог</t>
  </si>
  <si>
    <t>Шулєнін Итог</t>
  </si>
  <si>
    <t>Названия строк</t>
  </si>
  <si>
    <t>29.Вер</t>
  </si>
  <si>
    <t>01.Жов</t>
  </si>
  <si>
    <t>04.Жов</t>
  </si>
  <si>
    <t>Названия столбцов</t>
  </si>
  <si>
    <t>Сумма по полю Варітсть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</si>
</sst>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0" borderId="0" xfId="0" applyNumberFormat="1"/>
    <xf numFmtId="14" fontId="1" fillId="0" borderId="0" xfId="0" applyNumberFormat="1" applyFont="1"/>
    <xf numFmtId="0" fontId="1" fillId="0" borderId="0" xfId="0" applyNumberFormat="1" applyFont="1"/>
    <xf numFmtId="0" fontId="0" fillId="3" borderId="0" xfId="0" applyFill="1"/>
    <xf numFmtId="0" fontId="1" fillId="3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[Лабораторна робота 4.xlsm]Лист4!Сводная таблица1</c:name>
    <c:fmtId val="17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Лист4!$B$3:$B$4</c:f>
              <c:strCache>
                <c:ptCount val="1"/>
                <c:pt idx="0">
                  <c:v>Данилюк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Лист4!$B$5:$B$10</c:f>
              <c:numCache>
                <c:formatCode>General</c:formatCode>
                <c:ptCount val="5"/>
                <c:pt idx="0">
                  <c:v>300</c:v>
                </c:pt>
                <c:pt idx="1">
                  <c:v>351</c:v>
                </c:pt>
                <c:pt idx="2">
                  <c:v>18000</c:v>
                </c:pt>
                <c:pt idx="3">
                  <c:v>4917</c:v>
                </c:pt>
                <c:pt idx="4">
                  <c:v>26154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5B-4DDC-92AD-8263F6242F37}"/>
            </c:ext>
          </c:extLst>
        </c:ser>
        <c:ser>
          <c:idx val="1"/>
          <c:order val="1"/>
          <c:tx>
            <c:strRef>
              <c:f>Лист4!$C$3:$C$4</c:f>
              <c:strCache>
                <c:ptCount val="1"/>
                <c:pt idx="0">
                  <c:v>Садовська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Лист4!$C$5:$C$10</c:f>
              <c:numCache>
                <c:formatCode>General</c:formatCode>
                <c:ptCount val="5"/>
                <c:pt idx="0">
                  <c:v>1680</c:v>
                </c:pt>
                <c:pt idx="1">
                  <c:v>123.5</c:v>
                </c:pt>
                <c:pt idx="2">
                  <c:v>21096</c:v>
                </c:pt>
                <c:pt idx="3">
                  <c:v>329</c:v>
                </c:pt>
                <c:pt idx="4">
                  <c:v>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B-4DDC-92AD-8263F6242F37}"/>
            </c:ext>
          </c:extLst>
        </c:ser>
        <c:ser>
          <c:idx val="2"/>
          <c:order val="2"/>
          <c:tx>
            <c:strRef>
              <c:f>Лист4!$D$3:$D$4</c:f>
              <c:strCache>
                <c:ptCount val="1"/>
                <c:pt idx="0">
                  <c:v>Тимченко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Лист4!$D$5:$D$10</c:f>
              <c:numCache>
                <c:formatCode>General</c:formatCode>
                <c:ptCount val="5"/>
                <c:pt idx="1">
                  <c:v>4.5</c:v>
                </c:pt>
                <c:pt idx="2">
                  <c:v>55032</c:v>
                </c:pt>
                <c:pt idx="3">
                  <c:v>1617</c:v>
                </c:pt>
                <c:pt idx="4">
                  <c:v>279837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B-4DDC-92AD-8263F6242F37}"/>
            </c:ext>
          </c:extLst>
        </c:ser>
        <c:ser>
          <c:idx val="3"/>
          <c:order val="3"/>
          <c:tx>
            <c:strRef>
              <c:f>Лист4!$E$3:$E$4</c:f>
              <c:strCache>
                <c:ptCount val="1"/>
                <c:pt idx="0">
                  <c:v>Шулєнін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Лист4!$E$5:$E$10</c:f>
              <c:numCache>
                <c:formatCode>General</c:formatCode>
                <c:ptCount val="5"/>
                <c:pt idx="0">
                  <c:v>13500</c:v>
                </c:pt>
                <c:pt idx="1">
                  <c:v>9637.5</c:v>
                </c:pt>
                <c:pt idx="2">
                  <c:v>2793</c:v>
                </c:pt>
                <c:pt idx="3">
                  <c:v>2539</c:v>
                </c:pt>
                <c:pt idx="4">
                  <c:v>158356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5B-4DDC-92AD-8263F6242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3007616"/>
        <c:axId val="1243013440"/>
      </c:lineChart>
      <c:catAx>
        <c:axId val="124300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013440"/>
        <c:crosses val="autoZero"/>
        <c:auto val="1"/>
        <c:lblAlgn val="ctr"/>
        <c:lblOffset val="100"/>
        <c:noMultiLvlLbl val="0"/>
      </c:catAx>
      <c:valAx>
        <c:axId val="124301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00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[Лабораторна робота 4.xlsm]Лист4!Сводная таблица1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5400"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5400"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Лист4!$B$3:$B$4</c:f>
              <c:strCache>
                <c:ptCount val="1"/>
                <c:pt idx="0">
                  <c:v>Данилюк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Лист4!$B$5:$B$10</c:f>
              <c:numCache>
                <c:formatCode>General</c:formatCode>
                <c:ptCount val="5"/>
                <c:pt idx="0">
                  <c:v>300</c:v>
                </c:pt>
                <c:pt idx="1">
                  <c:v>351</c:v>
                </c:pt>
                <c:pt idx="2">
                  <c:v>18000</c:v>
                </c:pt>
                <c:pt idx="3">
                  <c:v>4917</c:v>
                </c:pt>
                <c:pt idx="4">
                  <c:v>26154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B-4C94-AAFC-D95A6C9B5128}"/>
            </c:ext>
          </c:extLst>
        </c:ser>
        <c:ser>
          <c:idx val="1"/>
          <c:order val="1"/>
          <c:tx>
            <c:strRef>
              <c:f>Лист4!$C$3:$C$4</c:f>
              <c:strCache>
                <c:ptCount val="1"/>
                <c:pt idx="0">
                  <c:v>Садовська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Лист4!$C$5:$C$10</c:f>
              <c:numCache>
                <c:formatCode>General</c:formatCode>
                <c:ptCount val="5"/>
                <c:pt idx="0">
                  <c:v>1680</c:v>
                </c:pt>
                <c:pt idx="1">
                  <c:v>123.5</c:v>
                </c:pt>
                <c:pt idx="2">
                  <c:v>21096</c:v>
                </c:pt>
                <c:pt idx="3">
                  <c:v>329</c:v>
                </c:pt>
                <c:pt idx="4">
                  <c:v>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6B-4C94-AAFC-D95A6C9B5128}"/>
            </c:ext>
          </c:extLst>
        </c:ser>
        <c:ser>
          <c:idx val="2"/>
          <c:order val="2"/>
          <c:tx>
            <c:strRef>
              <c:f>Лист4!$D$3:$D$4</c:f>
              <c:strCache>
                <c:ptCount val="1"/>
                <c:pt idx="0">
                  <c:v>Тимченко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  <a:sp3d/>
          </c:spP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Лист4!$D$5:$D$10</c:f>
              <c:numCache>
                <c:formatCode>General</c:formatCode>
                <c:ptCount val="5"/>
                <c:pt idx="1">
                  <c:v>4.5</c:v>
                </c:pt>
                <c:pt idx="2">
                  <c:v>55032</c:v>
                </c:pt>
                <c:pt idx="3">
                  <c:v>1617</c:v>
                </c:pt>
                <c:pt idx="4">
                  <c:v>279837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6B-4C94-AAFC-D95A6C9B5128}"/>
            </c:ext>
          </c:extLst>
        </c:ser>
        <c:ser>
          <c:idx val="3"/>
          <c:order val="3"/>
          <c:tx>
            <c:strRef>
              <c:f>Лист4!$E$3:$E$4</c:f>
              <c:strCache>
                <c:ptCount val="1"/>
                <c:pt idx="0">
                  <c:v>Шулєнін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  <a:sp3d/>
          </c:spPr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Лист4!$E$5:$E$10</c:f>
              <c:numCache>
                <c:formatCode>General</c:formatCode>
                <c:ptCount val="5"/>
                <c:pt idx="0">
                  <c:v>13500</c:v>
                </c:pt>
                <c:pt idx="1">
                  <c:v>9637.5</c:v>
                </c:pt>
                <c:pt idx="2">
                  <c:v>2793</c:v>
                </c:pt>
                <c:pt idx="3">
                  <c:v>2539</c:v>
                </c:pt>
                <c:pt idx="4">
                  <c:v>158356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6B-4C94-AAFC-D95A6C9B5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798064"/>
        <c:axId val="1251794736"/>
        <c:axId val="1252104208"/>
      </c:area3DChart>
      <c:catAx>
        <c:axId val="125179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794736"/>
        <c:crosses val="autoZero"/>
        <c:auto val="1"/>
        <c:lblAlgn val="ctr"/>
        <c:lblOffset val="100"/>
        <c:noMultiLvlLbl val="0"/>
      </c:catAx>
      <c:valAx>
        <c:axId val="12517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798064"/>
        <c:crosses val="autoZero"/>
        <c:crossBetween val="midCat"/>
      </c:valAx>
      <c:serAx>
        <c:axId val="1252104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794736"/>
        <c:crosses val="autoZero"/>
      </c:ser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[Лабораторна робота 4.xlsm]Лист4!Сводная таблица1</c:name>
    <c:fmtId val="4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Лист4!$B$3:$B$4</c:f>
              <c:strCache>
                <c:ptCount val="1"/>
                <c:pt idx="0">
                  <c:v>Данилюк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Лист4!$B$5:$B$10</c:f>
              <c:numCache>
                <c:formatCode>General</c:formatCode>
                <c:ptCount val="5"/>
                <c:pt idx="0">
                  <c:v>300</c:v>
                </c:pt>
                <c:pt idx="1">
                  <c:v>351</c:v>
                </c:pt>
                <c:pt idx="2">
                  <c:v>18000</c:v>
                </c:pt>
                <c:pt idx="3">
                  <c:v>4917</c:v>
                </c:pt>
                <c:pt idx="4">
                  <c:v>26154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F0-45D2-99CF-003634673A39}"/>
            </c:ext>
          </c:extLst>
        </c:ser>
        <c:ser>
          <c:idx val="1"/>
          <c:order val="1"/>
          <c:tx>
            <c:strRef>
              <c:f>Лист4!$C$3:$C$4</c:f>
              <c:strCache>
                <c:ptCount val="1"/>
                <c:pt idx="0">
                  <c:v>Садовська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Лист4!$C$5:$C$10</c:f>
              <c:numCache>
                <c:formatCode>General</c:formatCode>
                <c:ptCount val="5"/>
                <c:pt idx="0">
                  <c:v>1680</c:v>
                </c:pt>
                <c:pt idx="1">
                  <c:v>123.5</c:v>
                </c:pt>
                <c:pt idx="2">
                  <c:v>21096</c:v>
                </c:pt>
                <c:pt idx="3">
                  <c:v>329</c:v>
                </c:pt>
                <c:pt idx="4">
                  <c:v>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F0-45D2-99CF-003634673A39}"/>
            </c:ext>
          </c:extLst>
        </c:ser>
        <c:ser>
          <c:idx val="2"/>
          <c:order val="2"/>
          <c:tx>
            <c:strRef>
              <c:f>Лист4!$D$3:$D$4</c:f>
              <c:strCache>
                <c:ptCount val="1"/>
                <c:pt idx="0">
                  <c:v>Тимченко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Лист4!$D$5:$D$10</c:f>
              <c:numCache>
                <c:formatCode>General</c:formatCode>
                <c:ptCount val="5"/>
                <c:pt idx="1">
                  <c:v>4.5</c:v>
                </c:pt>
                <c:pt idx="2">
                  <c:v>55032</c:v>
                </c:pt>
                <c:pt idx="3">
                  <c:v>1617</c:v>
                </c:pt>
                <c:pt idx="4">
                  <c:v>279837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F0-45D2-99CF-003634673A39}"/>
            </c:ext>
          </c:extLst>
        </c:ser>
        <c:ser>
          <c:idx val="3"/>
          <c:order val="3"/>
          <c:tx>
            <c:strRef>
              <c:f>Лист4!$E$3:$E$4</c:f>
              <c:strCache>
                <c:ptCount val="1"/>
                <c:pt idx="0">
                  <c:v>Шулєнін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Лист4!$A$5:$A$10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Лист4!$E$5:$E$10</c:f>
              <c:numCache>
                <c:formatCode>General</c:formatCode>
                <c:ptCount val="5"/>
                <c:pt idx="0">
                  <c:v>13500</c:v>
                </c:pt>
                <c:pt idx="1">
                  <c:v>9637.5</c:v>
                </c:pt>
                <c:pt idx="2">
                  <c:v>2793</c:v>
                </c:pt>
                <c:pt idx="3">
                  <c:v>2539</c:v>
                </c:pt>
                <c:pt idx="4">
                  <c:v>158356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F0-45D2-99CF-003634673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51793904"/>
        <c:axId val="1251794320"/>
        <c:axId val="0"/>
      </c:bar3DChart>
      <c:catAx>
        <c:axId val="125179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794320"/>
        <c:crosses val="autoZero"/>
        <c:auto val="1"/>
        <c:lblAlgn val="ctr"/>
        <c:lblOffset val="100"/>
        <c:noMultiLvlLbl val="0"/>
      </c:catAx>
      <c:valAx>
        <c:axId val="12517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79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[Лабораторна робота 4.xlsm]Лист5!Сводная таблица2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Лист5!$B$3:$B$4</c:f>
              <c:strCache>
                <c:ptCount val="1"/>
                <c:pt idx="0">
                  <c:v>29.Вер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Лист5!$B$5:$B$10</c:f>
              <c:numCache>
                <c:formatCode>General</c:formatCode>
                <c:ptCount val="5"/>
                <c:pt idx="0">
                  <c:v>5100</c:v>
                </c:pt>
                <c:pt idx="2">
                  <c:v>95325</c:v>
                </c:pt>
                <c:pt idx="4">
                  <c:v>332642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9-4916-826B-6481C77DC68A}"/>
            </c:ext>
          </c:extLst>
        </c:ser>
        <c:ser>
          <c:idx val="1"/>
          <c:order val="1"/>
          <c:tx>
            <c:strRef>
              <c:f>Лист5!$C$3:$C$4</c:f>
              <c:strCache>
                <c:ptCount val="1"/>
                <c:pt idx="0">
                  <c:v>01.Жов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Лист5!$C$5:$C$10</c:f>
              <c:numCache>
                <c:formatCode>General</c:formatCode>
                <c:ptCount val="5"/>
                <c:pt idx="0">
                  <c:v>9930</c:v>
                </c:pt>
                <c:pt idx="1">
                  <c:v>128</c:v>
                </c:pt>
                <c:pt idx="3">
                  <c:v>3563</c:v>
                </c:pt>
                <c:pt idx="4">
                  <c:v>26154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F9-4916-826B-6481C77DC68A}"/>
            </c:ext>
          </c:extLst>
        </c:ser>
        <c:ser>
          <c:idx val="2"/>
          <c:order val="2"/>
          <c:tx>
            <c:strRef>
              <c:f>Лист5!$D$3:$D$4</c:f>
              <c:strCache>
                <c:ptCount val="1"/>
                <c:pt idx="0">
                  <c:v>04.Жов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Лист5!$D$5:$D$10</c:f>
              <c:numCache>
                <c:formatCode>General</c:formatCode>
                <c:ptCount val="5"/>
                <c:pt idx="0">
                  <c:v>450</c:v>
                </c:pt>
                <c:pt idx="1">
                  <c:v>9988.5</c:v>
                </c:pt>
                <c:pt idx="2">
                  <c:v>1596</c:v>
                </c:pt>
                <c:pt idx="3">
                  <c:v>5839</c:v>
                </c:pt>
                <c:pt idx="4">
                  <c:v>109837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F9-4916-826B-6481C77DC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793488"/>
        <c:axId val="1251793072"/>
      </c:lineChart>
      <c:catAx>
        <c:axId val="125179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793072"/>
        <c:crosses val="autoZero"/>
        <c:auto val="1"/>
        <c:lblAlgn val="ctr"/>
        <c:lblOffset val="100"/>
        <c:noMultiLvlLbl val="0"/>
      </c:catAx>
      <c:valAx>
        <c:axId val="125179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79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[Лабораторна робота 4.xlsm]Лист5!Сводная таблица2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Лист5!$B$3:$B$4</c:f>
              <c:strCache>
                <c:ptCount val="1"/>
                <c:pt idx="0">
                  <c:v>29.Вер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Лист5!$B$5:$B$10</c:f>
              <c:numCache>
                <c:formatCode>General</c:formatCode>
                <c:ptCount val="5"/>
                <c:pt idx="0">
                  <c:v>5100</c:v>
                </c:pt>
                <c:pt idx="2">
                  <c:v>95325</c:v>
                </c:pt>
                <c:pt idx="4">
                  <c:v>332642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A-4DB7-87C4-C10626C5C0C9}"/>
            </c:ext>
          </c:extLst>
        </c:ser>
        <c:ser>
          <c:idx val="1"/>
          <c:order val="1"/>
          <c:tx>
            <c:strRef>
              <c:f>Лист5!$C$3:$C$4</c:f>
              <c:strCache>
                <c:ptCount val="1"/>
                <c:pt idx="0">
                  <c:v>01.Жов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Лист5!$C$5:$C$10</c:f>
              <c:numCache>
                <c:formatCode>General</c:formatCode>
                <c:ptCount val="5"/>
                <c:pt idx="0">
                  <c:v>9930</c:v>
                </c:pt>
                <c:pt idx="1">
                  <c:v>128</c:v>
                </c:pt>
                <c:pt idx="3">
                  <c:v>3563</c:v>
                </c:pt>
                <c:pt idx="4">
                  <c:v>26154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A-4DB7-87C4-C10626C5C0C9}"/>
            </c:ext>
          </c:extLst>
        </c:ser>
        <c:ser>
          <c:idx val="2"/>
          <c:order val="2"/>
          <c:tx>
            <c:strRef>
              <c:f>Лист5!$D$3:$D$4</c:f>
              <c:strCache>
                <c:ptCount val="1"/>
                <c:pt idx="0">
                  <c:v>04.Жов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Лист5!$D$5:$D$10</c:f>
              <c:numCache>
                <c:formatCode>General</c:formatCode>
                <c:ptCount val="5"/>
                <c:pt idx="0">
                  <c:v>450</c:v>
                </c:pt>
                <c:pt idx="1">
                  <c:v>9988.5</c:v>
                </c:pt>
                <c:pt idx="2">
                  <c:v>1596</c:v>
                </c:pt>
                <c:pt idx="3">
                  <c:v>5839</c:v>
                </c:pt>
                <c:pt idx="4">
                  <c:v>109837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2A-4DB7-87C4-C10626C5C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010944"/>
        <c:axId val="1243010112"/>
        <c:axId val="782057824"/>
      </c:line3DChart>
      <c:catAx>
        <c:axId val="124301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010112"/>
        <c:crosses val="autoZero"/>
        <c:auto val="1"/>
        <c:lblAlgn val="ctr"/>
        <c:lblOffset val="100"/>
        <c:noMultiLvlLbl val="0"/>
      </c:catAx>
      <c:valAx>
        <c:axId val="12430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010944"/>
        <c:crosses val="autoZero"/>
        <c:crossBetween val="between"/>
      </c:valAx>
      <c:serAx>
        <c:axId val="7820578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010112"/>
        <c:crosses val="autoZero"/>
      </c:ser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[Лабораторна робота 4.xlsm]Лист5!Сводная таблица2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Лист5!$B$3:$B$4</c:f>
              <c:strCache>
                <c:ptCount val="1"/>
                <c:pt idx="0">
                  <c:v>29.Вер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Лист5!$B$5:$B$10</c:f>
              <c:numCache>
                <c:formatCode>General</c:formatCode>
                <c:ptCount val="5"/>
                <c:pt idx="0">
                  <c:v>5100</c:v>
                </c:pt>
                <c:pt idx="2">
                  <c:v>95325</c:v>
                </c:pt>
                <c:pt idx="4">
                  <c:v>332642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6-40BC-BAC7-6909E119AE14}"/>
            </c:ext>
          </c:extLst>
        </c:ser>
        <c:ser>
          <c:idx val="1"/>
          <c:order val="1"/>
          <c:tx>
            <c:strRef>
              <c:f>Лист5!$C$3:$C$4</c:f>
              <c:strCache>
                <c:ptCount val="1"/>
                <c:pt idx="0">
                  <c:v>01.Жов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Лист5!$C$5:$C$10</c:f>
              <c:numCache>
                <c:formatCode>General</c:formatCode>
                <c:ptCount val="5"/>
                <c:pt idx="0">
                  <c:v>9930</c:v>
                </c:pt>
                <c:pt idx="1">
                  <c:v>128</c:v>
                </c:pt>
                <c:pt idx="3">
                  <c:v>3563</c:v>
                </c:pt>
                <c:pt idx="4">
                  <c:v>26154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A6-40BC-BAC7-6909E119AE14}"/>
            </c:ext>
          </c:extLst>
        </c:ser>
        <c:ser>
          <c:idx val="2"/>
          <c:order val="2"/>
          <c:tx>
            <c:strRef>
              <c:f>Лист5!$D$3:$D$4</c:f>
              <c:strCache>
                <c:ptCount val="1"/>
                <c:pt idx="0">
                  <c:v>04.Жов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Лист5!$A$5:$A$10</c:f>
              <c:strCache>
                <c:ptCount val="5"/>
                <c:pt idx="0">
                  <c:v>Вазон</c:v>
                </c:pt>
                <c:pt idx="1">
                  <c:v>Вода</c:v>
                </c:pt>
                <c:pt idx="2">
                  <c:v>Драбина</c:v>
                </c:pt>
                <c:pt idx="3">
                  <c:v>Стілець</c:v>
                </c:pt>
                <c:pt idx="4">
                  <c:v>Телефон</c:v>
                </c:pt>
              </c:strCache>
            </c:strRef>
          </c:cat>
          <c:val>
            <c:numRef>
              <c:f>Лист5!$D$5:$D$10</c:f>
              <c:numCache>
                <c:formatCode>General</c:formatCode>
                <c:ptCount val="5"/>
                <c:pt idx="0">
                  <c:v>450</c:v>
                </c:pt>
                <c:pt idx="1">
                  <c:v>9988.5</c:v>
                </c:pt>
                <c:pt idx="2">
                  <c:v>1596</c:v>
                </c:pt>
                <c:pt idx="3">
                  <c:v>5839</c:v>
                </c:pt>
                <c:pt idx="4">
                  <c:v>109837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A6-40BC-BAC7-6909E119A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44768016"/>
        <c:axId val="1244771344"/>
        <c:axId val="0"/>
      </c:bar3DChart>
      <c:catAx>
        <c:axId val="12447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771344"/>
        <c:crosses val="autoZero"/>
        <c:auto val="1"/>
        <c:lblAlgn val="ctr"/>
        <c:lblOffset val="100"/>
        <c:noMultiLvlLbl val="0"/>
      </c:catAx>
      <c:valAx>
        <c:axId val="124477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76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586740</xdr:colOff>
      <xdr:row>2</xdr:row>
      <xdr:rowOff>22860</xdr:rowOff>
    </xdr:from>
    <xdr:to>
      <xdr:col>17</xdr:col>
      <xdr:colOff>137160</xdr:colOff>
      <xdr:row>22</xdr:row>
      <xdr:rowOff>91440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1402080</xdr:colOff>
      <xdr:row>11</xdr:row>
      <xdr:rowOff>3810</xdr:rowOff>
    </xdr:from>
    <xdr:to>
      <xdr:col>6</xdr:col>
      <xdr:colOff>251460</xdr:colOff>
      <xdr:row>26</xdr:row>
      <xdr:rowOff>3810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281940</xdr:colOff>
      <xdr:row>23</xdr:row>
      <xdr:rowOff>156210</xdr:rowOff>
    </xdr:from>
    <xdr:to>
      <xdr:col>14</xdr:col>
      <xdr:colOff>586740</xdr:colOff>
      <xdr:row>38</xdr:row>
      <xdr:rowOff>156210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0</xdr:row>
      <xdr:rowOff>160020</xdr:rowOff>
    </xdr:from>
    <xdr:to>
      <xdr:col>12</xdr:col>
      <xdr:colOff>594360</xdr:colOff>
      <xdr:row>15</xdr:row>
      <xdr:rowOff>156210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10</xdr:row>
      <xdr:rowOff>156210</xdr:rowOff>
    </xdr:from>
    <xdr:to>
      <xdr:col>4</xdr:col>
      <xdr:colOff>571500</xdr:colOff>
      <xdr:row>25</xdr:row>
      <xdr:rowOff>156210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15240</xdr:colOff>
      <xdr:row>16</xdr:row>
      <xdr:rowOff>106680</xdr:rowOff>
    </xdr:from>
    <xdr:to>
      <xdr:col>12</xdr:col>
      <xdr:colOff>586740</xdr:colOff>
      <xdr:row>31</xdr:row>
      <xdr:rowOff>11430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MA" refreshedDate="43739.975103703706" createdVersion="6" refreshedVersion="6" minRefreshableVersion="3" recordCount="29">
  <cacheSource type="worksheet">
    <worksheetSource ref="A1:F30" sheet="Лист1"/>
  </cacheSource>
  <cacheFields count="7">
    <cacheField name="Дата" numFmtId="14">
      <sharedItems containsSemiMixedTypes="0" containsNonDate="0" containsDate="1" containsString="0" minDate="2019-09-29T00:00:00" maxDate="2019-10-05T00:00:00" count="3">
        <d v="2019-09-29T00:00:00"/>
        <d v="2019-10-04T00:00:00"/>
        <d v="2019-10-01T00:00:00"/>
      </sharedItems>
      <fieldGroup par="6" base="0">
        <rangePr groupBy="days" startDate="2019-09-29T00:00:00" endDate="2019-10-05T00:00:00"/>
        <groupItems count="368">
          <s v="&lt;29.09.2019"/>
          <s v="01.Січ"/>
          <s v="02.Січ"/>
          <s v="03.Січ"/>
          <s v="04.Січ"/>
          <s v="05.Січ"/>
          <s v="06.Січ"/>
          <s v="07.Січ"/>
          <s v="08.Січ"/>
          <s v="09.Січ"/>
          <s v="10.Січ"/>
          <s v="11.Січ"/>
          <s v="12.Січ"/>
          <s v="13.Січ"/>
          <s v="14.Січ"/>
          <s v="15.Січ"/>
          <s v="16.Січ"/>
          <s v="17.Січ"/>
          <s v="18.Січ"/>
          <s v="19.Січ"/>
          <s v="20.Січ"/>
          <s v="21.Січ"/>
          <s v="22.Січ"/>
          <s v="23.Січ"/>
          <s v="24.Січ"/>
          <s v="25.Січ"/>
          <s v="26.Січ"/>
          <s v="27.Січ"/>
          <s v="28.Січ"/>
          <s v="29.Січ"/>
          <s v="30.Січ"/>
          <s v="31.Січ"/>
          <s v="01.Лют"/>
          <s v="02.Лют"/>
          <s v="03.Лют"/>
          <s v="04.Лют"/>
          <s v="05.Лют"/>
          <s v="06.Лют"/>
          <s v="07.Лют"/>
          <s v="08.Лют"/>
          <s v="09.Лют"/>
          <s v="10.Лют"/>
          <s v="11.Лют"/>
          <s v="12.Лют"/>
          <s v="13.Лют"/>
          <s v="14.Лют"/>
          <s v="15.Лют"/>
          <s v="16.Лют"/>
          <s v="17.Лют"/>
          <s v="18.Лют"/>
          <s v="19.Лют"/>
          <s v="20.Лют"/>
          <s v="21.Лют"/>
          <s v="22.Лют"/>
          <s v="23.Лют"/>
          <s v="24.Лют"/>
          <s v="25.Лют"/>
          <s v="26.Лют"/>
          <s v="27.Лют"/>
          <s v="28.Лют"/>
          <s v="29.Лют"/>
          <s v="01.Бер"/>
          <s v="02.Бер"/>
          <s v="03.Бер"/>
          <s v="04.Бер"/>
          <s v="05.Бер"/>
          <s v="06.Бер"/>
          <s v="07.Бер"/>
          <s v="08.Бер"/>
          <s v="09.Бер"/>
          <s v="10.Бер"/>
          <s v="11.Бер"/>
          <s v="12.Бер"/>
          <s v="13.Бер"/>
          <s v="14.Бер"/>
          <s v="15.Бер"/>
          <s v="16.Бер"/>
          <s v="17.Бер"/>
          <s v="18.Бер"/>
          <s v="19.Бер"/>
          <s v="20.Бер"/>
          <s v="21.Бер"/>
          <s v="22.Бер"/>
          <s v="23.Бер"/>
          <s v="24.Бер"/>
          <s v="25.Бер"/>
          <s v="26.Бер"/>
          <s v="27.Бер"/>
          <s v="28.Бер"/>
          <s v="29.Бер"/>
          <s v="30.Бер"/>
          <s v="31.Бер"/>
          <s v="01.Кві"/>
          <s v="02.Кві"/>
          <s v="03.Кві"/>
          <s v="04.Кві"/>
          <s v="05.Кві"/>
          <s v="06.Кві"/>
          <s v="07.Кві"/>
          <s v="08.Кві"/>
          <s v="09.Кві"/>
          <s v="10.Кві"/>
          <s v="11.Кві"/>
          <s v="12.Кві"/>
          <s v="13.Кві"/>
          <s v="14.Кві"/>
          <s v="15.Кві"/>
          <s v="16.Кві"/>
          <s v="17.Кві"/>
          <s v="18.Кві"/>
          <s v="19.Кві"/>
          <s v="20.Кві"/>
          <s v="21.Кві"/>
          <s v="22.Кві"/>
          <s v="23.Кві"/>
          <s v="24.Кві"/>
          <s v="25.Кві"/>
          <s v="26.Кві"/>
          <s v="27.Кві"/>
          <s v="28.Кві"/>
          <s v="29.Кві"/>
          <s v="30.Кві"/>
          <s v="01.Тра"/>
          <s v="02.Тра"/>
          <s v="03.Тра"/>
          <s v="04.Тра"/>
          <s v="05.Тра"/>
          <s v="06.Тра"/>
          <s v="07.Тра"/>
          <s v="08.Тра"/>
          <s v="09.Тра"/>
          <s v="10.Тра"/>
          <s v="11.Тра"/>
          <s v="12.Тра"/>
          <s v="13.Тра"/>
          <s v="14.Тра"/>
          <s v="15.Тра"/>
          <s v="16.Тра"/>
          <s v="17.Тра"/>
          <s v="18.Тра"/>
          <s v="19.Тра"/>
          <s v="20.Тра"/>
          <s v="21.Тра"/>
          <s v="22.Тра"/>
          <s v="23.Тра"/>
          <s v="24.Тра"/>
          <s v="25.Тра"/>
          <s v="26.Тра"/>
          <s v="27.Тра"/>
          <s v="28.Тра"/>
          <s v="29.Тра"/>
          <s v="30.Тра"/>
          <s v="31.Тра"/>
          <s v="01.Чер"/>
          <s v="02.Чер"/>
          <s v="03.Чер"/>
          <s v="04.Чер"/>
          <s v="05.Чер"/>
          <s v="06.Чер"/>
          <s v="07.Чер"/>
          <s v="08.Чер"/>
          <s v="09.Чер"/>
          <s v="10.Чер"/>
          <s v="11.Чер"/>
          <s v="12.Чер"/>
          <s v="13.Чер"/>
          <s v="14.Чер"/>
          <s v="15.Чер"/>
          <s v="16.Чер"/>
          <s v="17.Чер"/>
          <s v="18.Чер"/>
          <s v="19.Чер"/>
          <s v="20.Чер"/>
          <s v="21.Чер"/>
          <s v="22.Чер"/>
          <s v="23.Чер"/>
          <s v="24.Чер"/>
          <s v="25.Чер"/>
          <s v="26.Чер"/>
          <s v="27.Чер"/>
          <s v="28.Чер"/>
          <s v="29.Чер"/>
          <s v="30.Чер"/>
          <s v="01.Лип"/>
          <s v="02.Лип"/>
          <s v="03.Лип"/>
          <s v="04.Лип"/>
          <s v="05.Лип"/>
          <s v="06.Лип"/>
          <s v="07.Лип"/>
          <s v="08.Лип"/>
          <s v="09.Лип"/>
          <s v="10.Лип"/>
          <s v="11.Лип"/>
          <s v="12.Лип"/>
          <s v="13.Лип"/>
          <s v="14.Лип"/>
          <s v="15.Лип"/>
          <s v="16.Лип"/>
          <s v="17.Лип"/>
          <s v="18.Лип"/>
          <s v="19.Лип"/>
          <s v="20.Лип"/>
          <s v="21.Лип"/>
          <s v="22.Лип"/>
          <s v="23.Лип"/>
          <s v="24.Лип"/>
          <s v="25.Лип"/>
          <s v="26.Лип"/>
          <s v="27.Лип"/>
          <s v="28.Лип"/>
          <s v="29.Лип"/>
          <s v="30.Лип"/>
          <s v="31.Лип"/>
          <s v="01.Сер"/>
          <s v="02.Сер"/>
          <s v="03.Сер"/>
          <s v="04.Сер"/>
          <s v="05.Сер"/>
          <s v="06.Сер"/>
          <s v="07.Сер"/>
          <s v="08.Сер"/>
          <s v="09.Сер"/>
          <s v="10.Сер"/>
          <s v="11.Сер"/>
          <s v="12.Сер"/>
          <s v="13.Сер"/>
          <s v="14.Сер"/>
          <s v="15.Сер"/>
          <s v="16.Сер"/>
          <s v="17.Сер"/>
          <s v="18.Сер"/>
          <s v="19.Сер"/>
          <s v="20.Сер"/>
          <s v="21.Сер"/>
          <s v="22.Сер"/>
          <s v="23.Сер"/>
          <s v="24.Сер"/>
          <s v="25.Сер"/>
          <s v="26.Сер"/>
          <s v="27.Сер"/>
          <s v="28.Сер"/>
          <s v="29.Сер"/>
          <s v="30.Сер"/>
          <s v="31.Сер"/>
          <s v="01.Вер"/>
          <s v="02.Вер"/>
          <s v="03.Вер"/>
          <s v="04.Вер"/>
          <s v="05.Вер"/>
          <s v="06.Вер"/>
          <s v="07.Вер"/>
          <s v="08.Вер"/>
          <s v="09.Вер"/>
          <s v="10.Вер"/>
          <s v="11.Вер"/>
          <s v="12.Вер"/>
          <s v="13.Вер"/>
          <s v="14.Вер"/>
          <s v="15.Вер"/>
          <s v="16.Вер"/>
          <s v="17.Вер"/>
          <s v="18.Вер"/>
          <s v="19.Вер"/>
          <s v="20.Вер"/>
          <s v="21.Вер"/>
          <s v="22.Вер"/>
          <s v="23.Вер"/>
          <s v="24.Вер"/>
          <s v="25.Вер"/>
          <s v="26.Вер"/>
          <s v="27.Вер"/>
          <s v="28.Вер"/>
          <s v="29.Вер"/>
          <s v="30.Вер"/>
          <s v="01.Жов"/>
          <s v="02.Жов"/>
          <s v="03.Жов"/>
          <s v="04.Жов"/>
          <s v="05.Жов"/>
          <s v="06.Жов"/>
          <s v="07.Жов"/>
          <s v="08.Жов"/>
          <s v="09.Жов"/>
          <s v="10.Жов"/>
          <s v="11.Жов"/>
          <s v="12.Жов"/>
          <s v="13.Жов"/>
          <s v="14.Жов"/>
          <s v="15.Жов"/>
          <s v="16.Жов"/>
          <s v="17.Жов"/>
          <s v="18.Жов"/>
          <s v="19.Жов"/>
          <s v="20.Жов"/>
          <s v="21.Жов"/>
          <s v="22.Жов"/>
          <s v="23.Жов"/>
          <s v="24.Жов"/>
          <s v="25.Жов"/>
          <s v="26.Жов"/>
          <s v="27.Жов"/>
          <s v="28.Жов"/>
          <s v="29.Жов"/>
          <s v="30.Жов"/>
          <s v="31.Жов"/>
          <s v="01.Лис"/>
          <s v="02.Лис"/>
          <s v="03.Лис"/>
          <s v="04.Лис"/>
          <s v="05.Лис"/>
          <s v="06.Лис"/>
          <s v="07.Лис"/>
          <s v="08.Лис"/>
          <s v="09.Лис"/>
          <s v="10.Лис"/>
          <s v="11.Лис"/>
          <s v="12.Лис"/>
          <s v="13.Лис"/>
          <s v="14.Лис"/>
          <s v="15.Лис"/>
          <s v="16.Лис"/>
          <s v="17.Лис"/>
          <s v="18.Лис"/>
          <s v="19.Лис"/>
          <s v="20.Лис"/>
          <s v="21.Лис"/>
          <s v="22.Лис"/>
          <s v="23.Лис"/>
          <s v="24.Лис"/>
          <s v="25.Лис"/>
          <s v="26.Лис"/>
          <s v="27.Лис"/>
          <s v="28.Лис"/>
          <s v="29.Лис"/>
          <s v="30.Лис"/>
          <s v="01.Гру"/>
          <s v="02.Гру"/>
          <s v="03.Гру"/>
          <s v="04.Гру"/>
          <s v="05.Гру"/>
          <s v="06.Гру"/>
          <s v="07.Гру"/>
          <s v="08.Гру"/>
          <s v="09.Гру"/>
          <s v="10.Гру"/>
          <s v="11.Гру"/>
          <s v="12.Гру"/>
          <s v="13.Гру"/>
          <s v="14.Гру"/>
          <s v="15.Гру"/>
          <s v="16.Гру"/>
          <s v="17.Гру"/>
          <s v="18.Гру"/>
          <s v="19.Гру"/>
          <s v="20.Гру"/>
          <s v="21.Гру"/>
          <s v="22.Гру"/>
          <s v="23.Гру"/>
          <s v="24.Гру"/>
          <s v="25.Гру"/>
          <s v="26.Гру"/>
          <s v="27.Гру"/>
          <s v="28.Гру"/>
          <s v="29.Гру"/>
          <s v="30.Гру"/>
          <s v="31.Гру"/>
          <s v="&gt;05.10.2019"/>
        </groupItems>
      </fieldGroup>
    </cacheField>
    <cacheField name="Продавець" numFmtId="0">
      <sharedItems count="4">
        <s v="Тимченко"/>
        <s v="Шулєнін"/>
        <s v="Данилюк"/>
        <s v="Садовська"/>
      </sharedItems>
    </cacheField>
    <cacheField name="Товар" numFmtId="0">
      <sharedItems count="5">
        <s v="Телефон"/>
        <s v="Драбина"/>
        <s v="Вода"/>
        <s v="Вазон"/>
        <s v="Стілець"/>
      </sharedItems>
    </cacheField>
    <cacheField name="Ціна" numFmtId="0">
      <sharedItems containsSemiMixedTypes="0" containsString="0" containsNumber="1" minValue="1.5" maxValue="5000"/>
    </cacheField>
    <cacheField name="Кількість" numFmtId="0">
      <sharedItems containsSemiMixedTypes="0" containsString="0" containsNumber="1" containsInteger="1" minValue="1" maxValue="234"/>
    </cacheField>
    <cacheField name="Варітсть" numFmtId="0">
      <sharedItems containsSemiMixedTypes="0" containsString="0" containsNumber="1" minValue="4.5" maxValue="170000"/>
    </cacheField>
    <cacheField name="Месяцы" numFmtId="0" databaseField="0">
      <fieldGroup base="0">
        <rangePr groupBy="months" startDate="2019-09-29T00:00:00" endDate="2019-10-05T00:00:00"/>
        <groupItems count="14">
          <s v="&lt;29.09.2019"/>
          <s v="Січ"/>
          <s v="Лют"/>
          <s v="Бер"/>
          <s v="Кві"/>
          <s v="Тра"/>
          <s v="Чер"/>
          <s v="Лип"/>
          <s v="Сер"/>
          <s v="Вер"/>
          <s v="Жов"/>
          <s v="Лис"/>
          <s v="Гру"/>
          <s v="&gt;05.10.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n v="5000"/>
    <n v="34"/>
    <n v="170000"/>
  </r>
  <r>
    <x v="0"/>
    <x v="1"/>
    <x v="0"/>
    <n v="3599"/>
    <n v="44"/>
    <n v="158356"/>
  </r>
  <r>
    <x v="1"/>
    <x v="0"/>
    <x v="0"/>
    <n v="4586"/>
    <n v="23"/>
    <n v="105478"/>
  </r>
  <r>
    <x v="0"/>
    <x v="0"/>
    <x v="1"/>
    <n v="4586"/>
    <n v="12"/>
    <n v="55032"/>
  </r>
  <r>
    <x v="2"/>
    <x v="2"/>
    <x v="0"/>
    <n v="4359"/>
    <n v="6"/>
    <n v="26154"/>
  </r>
  <r>
    <x v="0"/>
    <x v="2"/>
    <x v="1"/>
    <n v="400"/>
    <n v="45"/>
    <n v="18000"/>
  </r>
  <r>
    <x v="0"/>
    <x v="3"/>
    <x v="1"/>
    <n v="400"/>
    <n v="42"/>
    <n v="16800"/>
  </r>
  <r>
    <x v="1"/>
    <x v="1"/>
    <x v="2"/>
    <n v="400"/>
    <n v="24"/>
    <n v="9600"/>
  </r>
  <r>
    <x v="2"/>
    <x v="1"/>
    <x v="3"/>
    <n v="150"/>
    <n v="56"/>
    <n v="8400"/>
  </r>
  <r>
    <x v="0"/>
    <x v="1"/>
    <x v="3"/>
    <n v="150"/>
    <n v="34"/>
    <n v="5100"/>
  </r>
  <r>
    <x v="1"/>
    <x v="0"/>
    <x v="0"/>
    <n v="4359"/>
    <n v="1"/>
    <n v="4359"/>
  </r>
  <r>
    <x v="0"/>
    <x v="3"/>
    <x v="1"/>
    <n v="358"/>
    <n v="12"/>
    <n v="4296"/>
  </r>
  <r>
    <x v="0"/>
    <x v="3"/>
    <x v="0"/>
    <n v="2143"/>
    <n v="2"/>
    <n v="4286"/>
  </r>
  <r>
    <x v="1"/>
    <x v="2"/>
    <x v="4"/>
    <n v="150"/>
    <n v="22"/>
    <n v="3300"/>
  </r>
  <r>
    <x v="2"/>
    <x v="0"/>
    <x v="4"/>
    <n v="49"/>
    <n v="33"/>
    <n v="1617"/>
  </r>
  <r>
    <x v="2"/>
    <x v="2"/>
    <x v="4"/>
    <n v="49"/>
    <n v="33"/>
    <n v="1617"/>
  </r>
  <r>
    <x v="1"/>
    <x v="1"/>
    <x v="1"/>
    <n v="399"/>
    <n v="4"/>
    <n v="1596"/>
  </r>
  <r>
    <x v="1"/>
    <x v="1"/>
    <x v="4"/>
    <n v="243"/>
    <n v="6"/>
    <n v="1458"/>
  </r>
  <r>
    <x v="2"/>
    <x v="3"/>
    <x v="3"/>
    <n v="123"/>
    <n v="10"/>
    <n v="1230"/>
  </r>
  <r>
    <x v="0"/>
    <x v="1"/>
    <x v="1"/>
    <n v="399"/>
    <n v="3"/>
    <n v="1197"/>
  </r>
  <r>
    <x v="1"/>
    <x v="1"/>
    <x v="4"/>
    <n v="47"/>
    <n v="23"/>
    <n v="1081"/>
  </r>
  <r>
    <x v="1"/>
    <x v="3"/>
    <x v="3"/>
    <n v="150"/>
    <n v="3"/>
    <n v="450"/>
  </r>
  <r>
    <x v="1"/>
    <x v="2"/>
    <x v="2"/>
    <n v="1.5"/>
    <n v="234"/>
    <n v="351"/>
  </r>
  <r>
    <x v="2"/>
    <x v="3"/>
    <x v="4"/>
    <n v="47"/>
    <n v="7"/>
    <n v="329"/>
  </r>
  <r>
    <x v="2"/>
    <x v="2"/>
    <x v="3"/>
    <n v="150"/>
    <n v="2"/>
    <n v="300"/>
  </r>
  <r>
    <x v="2"/>
    <x v="3"/>
    <x v="2"/>
    <n v="2"/>
    <n v="32"/>
    <n v="64"/>
  </r>
  <r>
    <x v="2"/>
    <x v="3"/>
    <x v="2"/>
    <n v="1.7"/>
    <n v="35"/>
    <n v="59.5"/>
  </r>
  <r>
    <x v="1"/>
    <x v="1"/>
    <x v="2"/>
    <n v="1.5"/>
    <n v="25"/>
    <n v="37.5"/>
  </r>
  <r>
    <x v="2"/>
    <x v="0"/>
    <x v="2"/>
    <n v="1.5"/>
    <n v="3"/>
    <n v="4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46">
  <location ref="A3:F10" firstHeaderRow="1" firstDataRow="2" firstDataCol="1"/>
  <pivotFields count="7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5">
        <item x="2"/>
        <item x="3"/>
        <item x="0"/>
        <item x="1"/>
        <item t="default"/>
      </items>
    </pivotField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Сумма по полю Варітсть" fld="5" baseField="0" baseItem="0"/>
  </dataFields>
  <chartFormats count="12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4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4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2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3">
  <location ref="A3:E10" firstHeaderRow="1" firstDataRow="2" firstDataCol="1"/>
  <pivotFields count="7"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4">
    <i>
      <x v="273"/>
    </i>
    <i>
      <x v="275"/>
    </i>
    <i>
      <x v="278"/>
    </i>
    <i t="grand">
      <x/>
    </i>
  </colItems>
  <dataFields count="1">
    <dataField name="Сумма по полю Варітсть" fld="5" baseField="0" baseItem="0"/>
  </dataFields>
  <chartFormats count="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5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8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3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5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F10"/>
  <sheetViews>
    <sheetView topLeftCell="A10" workbookViewId="0">
      <selection activeCell="F31" sqref="F31"/>
    </sheetView>
  </sheetViews>
  <sheetFormatPr defaultRowHeight="14.4" x14ac:dyDescent="0.3"/>
  <cols>
    <col min="1" max="1" width="22.77734375" bestFit="1" customWidth="1"/>
    <col min="2" max="2" width="20.33203125" bestFit="1" customWidth="1"/>
    <col min="3" max="3" width="10.21875" bestFit="1" customWidth="1"/>
    <col min="4" max="4" width="9.77734375" bestFit="1" customWidth="1"/>
    <col min="5" max="5" width="9" customWidth="1"/>
    <col min="6" max="6" width="11.33203125" bestFit="1" customWidth="1"/>
  </cols>
  <sheetData>
    <row r="3" spans="1:6" x14ac:dyDescent="0.3">
      <c r="A3" s="9" t="s">
        <v>33</v>
      </c>
      <c r="B3" s="9" t="s">
        <v>32</v>
      </c>
    </row>
    <row r="4" spans="1:6" x14ac:dyDescent="0.3">
      <c r="A4" s="9" t="s">
        <v>28</v>
      </c>
      <c r="B4" t="s">
        <v>6</v>
      </c>
      <c r="C4" t="s">
        <v>9</v>
      </c>
      <c r="D4" t="s">
        <v>7</v>
      </c>
      <c r="E4" t="s">
        <v>8</v>
      </c>
      <c r="F4" t="s">
        <v>18</v>
      </c>
    </row>
    <row r="5" spans="1:6" x14ac:dyDescent="0.3">
      <c r="A5" s="10" t="s">
        <v>10</v>
      </c>
      <c r="B5" s="4">
        <v>300</v>
      </c>
      <c r="C5" s="4">
        <v>1680</v>
      </c>
      <c r="D5" s="4"/>
      <c r="E5" s="4">
        <v>13500</v>
      </c>
      <c r="F5" s="4">
        <v>15480</v>
      </c>
    </row>
    <row r="6" spans="1:6" x14ac:dyDescent="0.3">
      <c r="A6" s="10" t="s">
        <v>14</v>
      </c>
      <c r="B6" s="4">
        <v>351</v>
      </c>
      <c r="C6" s="4">
        <v>123.5</v>
      </c>
      <c r="D6" s="4">
        <v>4.5</v>
      </c>
      <c r="E6" s="4">
        <v>9637.5</v>
      </c>
      <c r="F6" s="4">
        <v>10116.5</v>
      </c>
    </row>
    <row r="7" spans="1:6" x14ac:dyDescent="0.3">
      <c r="A7" s="10" t="s">
        <v>12</v>
      </c>
      <c r="B7" s="4">
        <v>18000</v>
      </c>
      <c r="C7" s="4">
        <v>21096</v>
      </c>
      <c r="D7" s="4">
        <v>55032</v>
      </c>
      <c r="E7" s="4">
        <v>2793</v>
      </c>
      <c r="F7" s="4">
        <v>96921</v>
      </c>
    </row>
    <row r="8" spans="1:6" x14ac:dyDescent="0.3">
      <c r="A8" s="10" t="s">
        <v>13</v>
      </c>
      <c r="B8" s="4">
        <v>4917</v>
      </c>
      <c r="C8" s="4">
        <v>329</v>
      </c>
      <c r="D8" s="4">
        <v>1617</v>
      </c>
      <c r="E8" s="4">
        <v>2539</v>
      </c>
      <c r="F8" s="4">
        <v>9402</v>
      </c>
    </row>
    <row r="9" spans="1:6" x14ac:dyDescent="0.3">
      <c r="A9" s="10" t="s">
        <v>11</v>
      </c>
      <c r="B9" s="4">
        <v>26154</v>
      </c>
      <c r="C9" s="4">
        <v>4286</v>
      </c>
      <c r="D9" s="4">
        <v>279837</v>
      </c>
      <c r="E9" s="4">
        <v>158356</v>
      </c>
      <c r="F9" s="4">
        <v>468633</v>
      </c>
    </row>
    <row r="10" spans="1:6" x14ac:dyDescent="0.3">
      <c r="A10" s="10" t="s">
        <v>18</v>
      </c>
      <c r="B10" s="4">
        <v>49722</v>
      </c>
      <c r="C10" s="4">
        <v>27514.5</v>
      </c>
      <c r="D10" s="4">
        <v>336490.5</v>
      </c>
      <c r="E10" s="4">
        <v>186825.5</v>
      </c>
      <c r="F10" s="4">
        <v>600552.5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E10"/>
  <sheetViews>
    <sheetView tabSelected="1" topLeftCell="A7" workbookViewId="0">
      <selection activeCell="B6" sqref="B6"/>
    </sheetView>
  </sheetViews>
  <sheetFormatPr defaultRowHeight="14.4" x14ac:dyDescent="0.3"/>
  <cols>
    <col min="1" max="1" width="22.77734375" bestFit="1" customWidth="1"/>
    <col min="2" max="2" width="20.33203125" bestFit="1" customWidth="1"/>
    <col min="3" max="3" width="7.33203125" customWidth="1"/>
    <col min="4" max="4" width="9" customWidth="1"/>
    <col min="5" max="5" width="11.33203125" bestFit="1" customWidth="1"/>
  </cols>
  <sheetData>
    <row r="3" spans="1:5" x14ac:dyDescent="0.3">
      <c r="A3" s="9" t="s">
        <v>33</v>
      </c>
      <c r="B3" s="9" t="s">
        <v>32</v>
      </c>
    </row>
    <row r="4" spans="1:5" x14ac:dyDescent="0.3">
      <c r="A4" s="9" t="s">
        <v>28</v>
      </c>
      <c r="B4" s="1" t="s">
        <v>29</v>
      </c>
      <c r="C4" s="1" t="s">
        <v>30</v>
      </c>
      <c r="D4" s="1" t="s">
        <v>31</v>
      </c>
      <c r="E4" s="1" t="s">
        <v>18</v>
      </c>
    </row>
    <row r="5" spans="1:5" x14ac:dyDescent="0.3">
      <c r="A5" s="10" t="s">
        <v>10</v>
      </c>
      <c r="B5" s="4">
        <v>5100</v>
      </c>
      <c r="C5" s="4">
        <v>9930</v>
      </c>
      <c r="D5" s="4">
        <v>450</v>
      </c>
      <c r="E5" s="4">
        <v>15480</v>
      </c>
    </row>
    <row r="6" spans="1:5" x14ac:dyDescent="0.3">
      <c r="A6" s="10" t="s">
        <v>14</v>
      </c>
      <c r="B6" s="4"/>
      <c r="C6" s="4">
        <v>128</v>
      </c>
      <c r="D6" s="4">
        <v>9988.5</v>
      </c>
      <c r="E6" s="4">
        <v>10116.5</v>
      </c>
    </row>
    <row r="7" spans="1:5" x14ac:dyDescent="0.3">
      <c r="A7" s="10" t="s">
        <v>12</v>
      </c>
      <c r="B7" s="4">
        <v>95325</v>
      </c>
      <c r="C7" s="4"/>
      <c r="D7" s="4">
        <v>1596</v>
      </c>
      <c r="E7" s="4">
        <v>96921</v>
      </c>
    </row>
    <row r="8" spans="1:5" x14ac:dyDescent="0.3">
      <c r="A8" s="10" t="s">
        <v>13</v>
      </c>
      <c r="B8" s="4"/>
      <c r="C8" s="4">
        <v>3563</v>
      </c>
      <c r="D8" s="4">
        <v>5839</v>
      </c>
      <c r="E8" s="4">
        <v>9402</v>
      </c>
    </row>
    <row r="9" spans="1:5" x14ac:dyDescent="0.3">
      <c r="A9" s="10" t="s">
        <v>11</v>
      </c>
      <c r="B9" s="4">
        <v>332642</v>
      </c>
      <c r="C9" s="4">
        <v>26154</v>
      </c>
      <c r="D9" s="4">
        <v>109837</v>
      </c>
      <c r="E9" s="4">
        <v>468633</v>
      </c>
    </row>
    <row r="10" spans="1:5" x14ac:dyDescent="0.3">
      <c r="A10" s="10" t="s">
        <v>18</v>
      </c>
      <c r="B10" s="4">
        <v>433067</v>
      </c>
      <c r="C10" s="4">
        <v>39775</v>
      </c>
      <c r="D10" s="4">
        <v>127710.5</v>
      </c>
      <c r="E10" s="4">
        <v>600552.5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30"/>
  <sheetViews>
    <sheetView topLeftCell="A3" workbookViewId="0">
      <selection activeCell="G22" sqref="G22"/>
    </sheetView>
  </sheetViews>
  <sheetFormatPr defaultRowHeight="14.4" x14ac:dyDescent="0.3"/>
  <cols>
    <col min="1" max="1" width="10.109375" bestFit="1" customWidth="1"/>
    <col min="2" max="2" width="10.44140625" bestFit="1" customWidth="1"/>
    <col min="3" max="3" width="8.6640625" bestFit="1" customWidth="1"/>
    <col min="4" max="4" width="4.88671875" bestFit="1" customWidth="1"/>
    <col min="5" max="5" width="8.33203125" bestFit="1" customWidth="1"/>
    <col min="6" max="6" width="7.88671875" bestFit="1" customWidth="1"/>
  </cols>
  <sheetData>
    <row r="1" spans="1:6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1">
        <v>43742</v>
      </c>
      <c r="B2" t="s">
        <v>9</v>
      </c>
      <c r="C2" t="s">
        <v>10</v>
      </c>
      <c r="D2">
        <v>150</v>
      </c>
      <c r="E2">
        <v>3</v>
      </c>
      <c r="F2">
        <f t="shared" ref="F2:F30" si="0">D2*E2</f>
        <v>450</v>
      </c>
    </row>
    <row r="3" spans="1:6" x14ac:dyDescent="0.3">
      <c r="A3" s="1">
        <v>43742</v>
      </c>
      <c r="B3" t="s">
        <v>8</v>
      </c>
      <c r="C3" t="s">
        <v>14</v>
      </c>
      <c r="D3">
        <v>400</v>
      </c>
      <c r="E3">
        <v>24</v>
      </c>
      <c r="F3">
        <f t="shared" si="0"/>
        <v>9600</v>
      </c>
    </row>
    <row r="4" spans="1:6" x14ac:dyDescent="0.3">
      <c r="A4" s="1">
        <v>43742</v>
      </c>
      <c r="B4" t="s">
        <v>6</v>
      </c>
      <c r="C4" t="s">
        <v>14</v>
      </c>
      <c r="D4">
        <v>1.5</v>
      </c>
      <c r="E4">
        <v>234</v>
      </c>
      <c r="F4">
        <f t="shared" si="0"/>
        <v>351</v>
      </c>
    </row>
    <row r="5" spans="1:6" x14ac:dyDescent="0.3">
      <c r="A5" s="1">
        <v>43742</v>
      </c>
      <c r="B5" t="s">
        <v>8</v>
      </c>
      <c r="C5" t="s">
        <v>14</v>
      </c>
      <c r="D5">
        <v>1.5</v>
      </c>
      <c r="E5">
        <v>25</v>
      </c>
      <c r="F5">
        <f t="shared" si="0"/>
        <v>37.5</v>
      </c>
    </row>
    <row r="6" spans="1:6" x14ac:dyDescent="0.3">
      <c r="A6" s="1">
        <v>43742</v>
      </c>
      <c r="B6" t="s">
        <v>8</v>
      </c>
      <c r="C6" t="s">
        <v>12</v>
      </c>
      <c r="D6">
        <v>399</v>
      </c>
      <c r="E6">
        <v>4</v>
      </c>
      <c r="F6">
        <f t="shared" si="0"/>
        <v>1596</v>
      </c>
    </row>
    <row r="7" spans="1:6" x14ac:dyDescent="0.3">
      <c r="A7" s="1">
        <v>43742</v>
      </c>
      <c r="B7" t="s">
        <v>6</v>
      </c>
      <c r="C7" t="s">
        <v>13</v>
      </c>
      <c r="D7">
        <v>150</v>
      </c>
      <c r="E7">
        <v>22</v>
      </c>
      <c r="F7">
        <f t="shared" si="0"/>
        <v>3300</v>
      </c>
    </row>
    <row r="8" spans="1:6" x14ac:dyDescent="0.3">
      <c r="A8" s="1">
        <v>43742</v>
      </c>
      <c r="B8" t="s">
        <v>8</v>
      </c>
      <c r="C8" t="s">
        <v>13</v>
      </c>
      <c r="D8">
        <v>243</v>
      </c>
      <c r="E8">
        <v>6</v>
      </c>
      <c r="F8">
        <f t="shared" si="0"/>
        <v>1458</v>
      </c>
    </row>
    <row r="9" spans="1:6" x14ac:dyDescent="0.3">
      <c r="A9" s="1">
        <v>43742</v>
      </c>
      <c r="B9" t="s">
        <v>8</v>
      </c>
      <c r="C9" t="s">
        <v>13</v>
      </c>
      <c r="D9">
        <v>47</v>
      </c>
      <c r="E9">
        <v>23</v>
      </c>
      <c r="F9">
        <f t="shared" si="0"/>
        <v>1081</v>
      </c>
    </row>
    <row r="10" spans="1:6" x14ac:dyDescent="0.3">
      <c r="A10" s="1">
        <v>43742</v>
      </c>
      <c r="B10" t="s">
        <v>7</v>
      </c>
      <c r="C10" t="s">
        <v>11</v>
      </c>
      <c r="D10">
        <v>4586</v>
      </c>
      <c r="E10">
        <v>23</v>
      </c>
      <c r="F10">
        <f t="shared" si="0"/>
        <v>105478</v>
      </c>
    </row>
    <row r="11" spans="1:6" x14ac:dyDescent="0.3">
      <c r="A11" s="1">
        <v>43742</v>
      </c>
      <c r="B11" t="s">
        <v>7</v>
      </c>
      <c r="C11" t="s">
        <v>11</v>
      </c>
      <c r="D11">
        <v>4359</v>
      </c>
      <c r="E11">
        <v>1</v>
      </c>
      <c r="F11">
        <f t="shared" si="0"/>
        <v>4359</v>
      </c>
    </row>
    <row r="12" spans="1:6" x14ac:dyDescent="0.3">
      <c r="A12" s="1">
        <v>43739</v>
      </c>
      <c r="B12" t="s">
        <v>8</v>
      </c>
      <c r="C12" t="s">
        <v>10</v>
      </c>
      <c r="D12">
        <v>150</v>
      </c>
      <c r="E12">
        <v>56</v>
      </c>
      <c r="F12">
        <f t="shared" si="0"/>
        <v>8400</v>
      </c>
    </row>
    <row r="13" spans="1:6" x14ac:dyDescent="0.3">
      <c r="A13" s="1">
        <v>43739</v>
      </c>
      <c r="B13" t="s">
        <v>9</v>
      </c>
      <c r="C13" t="s">
        <v>10</v>
      </c>
      <c r="D13">
        <v>123</v>
      </c>
      <c r="E13">
        <v>10</v>
      </c>
      <c r="F13">
        <f t="shared" si="0"/>
        <v>1230</v>
      </c>
    </row>
    <row r="14" spans="1:6" x14ac:dyDescent="0.3">
      <c r="A14" s="1">
        <v>43739</v>
      </c>
      <c r="B14" t="s">
        <v>6</v>
      </c>
      <c r="C14" t="s">
        <v>10</v>
      </c>
      <c r="D14">
        <v>150</v>
      </c>
      <c r="E14">
        <v>2</v>
      </c>
      <c r="F14">
        <f t="shared" si="0"/>
        <v>300</v>
      </c>
    </row>
    <row r="15" spans="1:6" x14ac:dyDescent="0.3">
      <c r="A15" s="1">
        <v>43739</v>
      </c>
      <c r="B15" t="s">
        <v>9</v>
      </c>
      <c r="C15" t="s">
        <v>14</v>
      </c>
      <c r="D15">
        <v>2</v>
      </c>
      <c r="E15">
        <v>32</v>
      </c>
      <c r="F15">
        <f t="shared" si="0"/>
        <v>64</v>
      </c>
    </row>
    <row r="16" spans="1:6" x14ac:dyDescent="0.3">
      <c r="A16" s="1">
        <v>43739</v>
      </c>
      <c r="B16" t="s">
        <v>9</v>
      </c>
      <c r="C16" t="s">
        <v>14</v>
      </c>
      <c r="D16">
        <v>1.7</v>
      </c>
      <c r="E16">
        <v>35</v>
      </c>
      <c r="F16">
        <f t="shared" si="0"/>
        <v>59.5</v>
      </c>
    </row>
    <row r="17" spans="1:6" x14ac:dyDescent="0.3">
      <c r="A17" s="1">
        <v>43739</v>
      </c>
      <c r="B17" t="s">
        <v>7</v>
      </c>
      <c r="C17" t="s">
        <v>14</v>
      </c>
      <c r="D17">
        <v>1.5</v>
      </c>
      <c r="E17">
        <v>3</v>
      </c>
      <c r="F17">
        <f t="shared" si="0"/>
        <v>4.5</v>
      </c>
    </row>
    <row r="18" spans="1:6" x14ac:dyDescent="0.3">
      <c r="A18" s="1">
        <v>43739</v>
      </c>
      <c r="B18" t="s">
        <v>7</v>
      </c>
      <c r="C18" t="s">
        <v>13</v>
      </c>
      <c r="D18">
        <v>49</v>
      </c>
      <c r="E18">
        <v>33</v>
      </c>
      <c r="F18">
        <f t="shared" si="0"/>
        <v>1617</v>
      </c>
    </row>
    <row r="19" spans="1:6" x14ac:dyDescent="0.3">
      <c r="A19" s="1">
        <v>43739</v>
      </c>
      <c r="B19" t="s">
        <v>6</v>
      </c>
      <c r="C19" t="s">
        <v>13</v>
      </c>
      <c r="D19">
        <v>49</v>
      </c>
      <c r="E19">
        <v>33</v>
      </c>
      <c r="F19">
        <f t="shared" si="0"/>
        <v>1617</v>
      </c>
    </row>
    <row r="20" spans="1:6" x14ac:dyDescent="0.3">
      <c r="A20" s="1">
        <v>43739</v>
      </c>
      <c r="B20" t="s">
        <v>9</v>
      </c>
      <c r="C20" t="s">
        <v>13</v>
      </c>
      <c r="D20">
        <v>47</v>
      </c>
      <c r="E20">
        <v>7</v>
      </c>
      <c r="F20">
        <f t="shared" si="0"/>
        <v>329</v>
      </c>
    </row>
    <row r="21" spans="1:6" x14ac:dyDescent="0.3">
      <c r="A21" s="1">
        <v>43739</v>
      </c>
      <c r="B21" t="s">
        <v>6</v>
      </c>
      <c r="C21" t="s">
        <v>11</v>
      </c>
      <c r="D21">
        <v>4359</v>
      </c>
      <c r="E21">
        <v>6</v>
      </c>
      <c r="F21">
        <f t="shared" si="0"/>
        <v>26154</v>
      </c>
    </row>
    <row r="22" spans="1:6" x14ac:dyDescent="0.3">
      <c r="A22" s="1">
        <v>43737</v>
      </c>
      <c r="B22" t="s">
        <v>8</v>
      </c>
      <c r="C22" t="s">
        <v>10</v>
      </c>
      <c r="D22">
        <v>150</v>
      </c>
      <c r="E22">
        <v>34</v>
      </c>
      <c r="F22">
        <f t="shared" si="0"/>
        <v>5100</v>
      </c>
    </row>
    <row r="23" spans="1:6" x14ac:dyDescent="0.3">
      <c r="A23" s="1">
        <v>43737</v>
      </c>
      <c r="B23" t="s">
        <v>7</v>
      </c>
      <c r="C23" t="s">
        <v>12</v>
      </c>
      <c r="D23">
        <v>4586</v>
      </c>
      <c r="E23">
        <v>12</v>
      </c>
      <c r="F23">
        <f t="shared" si="0"/>
        <v>55032</v>
      </c>
    </row>
    <row r="24" spans="1:6" x14ac:dyDescent="0.3">
      <c r="A24" s="1">
        <v>43737</v>
      </c>
      <c r="B24" t="s">
        <v>6</v>
      </c>
      <c r="C24" t="s">
        <v>12</v>
      </c>
      <c r="D24">
        <v>400</v>
      </c>
      <c r="E24">
        <v>45</v>
      </c>
      <c r="F24">
        <f t="shared" si="0"/>
        <v>18000</v>
      </c>
    </row>
    <row r="25" spans="1:6" x14ac:dyDescent="0.3">
      <c r="A25" s="1">
        <v>43737</v>
      </c>
      <c r="B25" t="s">
        <v>9</v>
      </c>
      <c r="C25" t="s">
        <v>12</v>
      </c>
      <c r="D25">
        <v>400</v>
      </c>
      <c r="E25">
        <v>42</v>
      </c>
      <c r="F25">
        <f t="shared" si="0"/>
        <v>16800</v>
      </c>
    </row>
    <row r="26" spans="1:6" x14ac:dyDescent="0.3">
      <c r="A26" s="1">
        <v>43737</v>
      </c>
      <c r="B26" t="s">
        <v>9</v>
      </c>
      <c r="C26" t="s">
        <v>12</v>
      </c>
      <c r="D26">
        <v>358</v>
      </c>
      <c r="E26">
        <v>12</v>
      </c>
      <c r="F26">
        <f t="shared" si="0"/>
        <v>4296</v>
      </c>
    </row>
    <row r="27" spans="1:6" x14ac:dyDescent="0.3">
      <c r="A27" s="1">
        <v>43737</v>
      </c>
      <c r="B27" t="s">
        <v>8</v>
      </c>
      <c r="C27" t="s">
        <v>12</v>
      </c>
      <c r="D27">
        <v>399</v>
      </c>
      <c r="E27">
        <v>3</v>
      </c>
      <c r="F27">
        <f t="shared" si="0"/>
        <v>1197</v>
      </c>
    </row>
    <row r="28" spans="1:6" x14ac:dyDescent="0.3">
      <c r="A28" s="1">
        <v>43737</v>
      </c>
      <c r="B28" t="s">
        <v>7</v>
      </c>
      <c r="C28" t="s">
        <v>11</v>
      </c>
      <c r="D28">
        <v>5000</v>
      </c>
      <c r="E28">
        <v>34</v>
      </c>
      <c r="F28">
        <f t="shared" si="0"/>
        <v>170000</v>
      </c>
    </row>
    <row r="29" spans="1:6" x14ac:dyDescent="0.3">
      <c r="A29" s="1">
        <v>43737</v>
      </c>
      <c r="B29" t="s">
        <v>8</v>
      </c>
      <c r="C29" t="s">
        <v>11</v>
      </c>
      <c r="D29">
        <v>3599</v>
      </c>
      <c r="E29">
        <v>44</v>
      </c>
      <c r="F29">
        <f t="shared" si="0"/>
        <v>158356</v>
      </c>
    </row>
    <row r="30" spans="1:6" x14ac:dyDescent="0.3">
      <c r="A30" s="1">
        <v>43737</v>
      </c>
      <c r="B30" t="s">
        <v>9</v>
      </c>
      <c r="C30" t="s">
        <v>11</v>
      </c>
      <c r="D30">
        <v>2143</v>
      </c>
      <c r="E30">
        <v>2</v>
      </c>
      <c r="F30">
        <f t="shared" si="0"/>
        <v>4286</v>
      </c>
    </row>
  </sheetData>
  <sortState ref="A2:F30">
    <sortCondition descending="1" ref="A2:A30"/>
    <sortCondition ref="C2:C30"/>
  </sortState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6"/>
  <sheetViews>
    <sheetView topLeftCell="A20" workbookViewId="0">
      <selection sqref="A1:F46"/>
    </sheetView>
  </sheetViews>
  <sheetFormatPr defaultRowHeight="14.4" outlineLevelRow="3" x14ac:dyDescent="0.3"/>
  <cols>
    <col min="1" max="1" width="10.109375" bestFit="1" customWidth="1"/>
    <col min="2" max="2" width="10.6640625" bestFit="1" customWidth="1"/>
    <col min="3" max="3" width="13.21875" bestFit="1" customWidth="1"/>
    <col min="4" max="4" width="8" bestFit="1" customWidth="1"/>
    <col min="5" max="5" width="8.6640625" bestFit="1" customWidth="1"/>
    <col min="6" max="6" width="8.109375" bestFit="1" customWidth="1"/>
  </cols>
  <sheetData>
    <row r="1" spans="1:6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outlineLevel="3" x14ac:dyDescent="0.3">
      <c r="A2" s="1">
        <v>43737</v>
      </c>
      <c r="B2" t="s">
        <v>8</v>
      </c>
      <c r="C2" t="s">
        <v>10</v>
      </c>
      <c r="D2">
        <v>150</v>
      </c>
      <c r="E2">
        <v>34</v>
      </c>
      <c r="F2">
        <f>D2*E2</f>
        <v>5100</v>
      </c>
    </row>
    <row r="3" spans="1:6" outlineLevel="2" x14ac:dyDescent="0.3">
      <c r="A3" s="1"/>
      <c r="C3" s="5" t="s">
        <v>19</v>
      </c>
      <c r="E3" s="7">
        <f>SUBTOTAL(9,E2:E2)</f>
        <v>34</v>
      </c>
      <c r="F3" s="7">
        <f>SUBTOTAL(9,F2:F2)</f>
        <v>5100</v>
      </c>
    </row>
    <row r="4" spans="1:6" outlineLevel="3" x14ac:dyDescent="0.3">
      <c r="A4" s="1">
        <v>43737</v>
      </c>
      <c r="B4" t="s">
        <v>8</v>
      </c>
      <c r="C4" t="s">
        <v>12</v>
      </c>
      <c r="D4">
        <v>399</v>
      </c>
      <c r="E4">
        <v>3</v>
      </c>
      <c r="F4">
        <f>D4*E4</f>
        <v>1197</v>
      </c>
    </row>
    <row r="5" spans="1:6" outlineLevel="3" x14ac:dyDescent="0.3">
      <c r="A5" s="1">
        <v>43737</v>
      </c>
      <c r="B5" t="s">
        <v>6</v>
      </c>
      <c r="C5" t="s">
        <v>12</v>
      </c>
      <c r="D5">
        <v>400</v>
      </c>
      <c r="E5">
        <v>45</v>
      </c>
      <c r="F5">
        <f>D5*E5</f>
        <v>18000</v>
      </c>
    </row>
    <row r="6" spans="1:6" outlineLevel="3" x14ac:dyDescent="0.3">
      <c r="A6" s="1">
        <v>43737</v>
      </c>
      <c r="B6" t="s">
        <v>9</v>
      </c>
      <c r="C6" t="s">
        <v>12</v>
      </c>
      <c r="D6">
        <v>358</v>
      </c>
      <c r="E6">
        <v>12</v>
      </c>
      <c r="F6">
        <f>D6*E6</f>
        <v>4296</v>
      </c>
    </row>
    <row r="7" spans="1:6" outlineLevel="3" x14ac:dyDescent="0.3">
      <c r="A7" s="1">
        <v>43737</v>
      </c>
      <c r="B7" t="s">
        <v>9</v>
      </c>
      <c r="C7" t="s">
        <v>12</v>
      </c>
      <c r="D7">
        <v>400</v>
      </c>
      <c r="E7">
        <v>42</v>
      </c>
      <c r="F7">
        <f>D7*E7</f>
        <v>16800</v>
      </c>
    </row>
    <row r="8" spans="1:6" outlineLevel="3" x14ac:dyDescent="0.3">
      <c r="A8" s="1">
        <v>43737</v>
      </c>
      <c r="B8" t="s">
        <v>7</v>
      </c>
      <c r="C8" t="s">
        <v>12</v>
      </c>
      <c r="D8">
        <v>4586</v>
      </c>
      <c r="E8">
        <v>12</v>
      </c>
      <c r="F8">
        <f>D8*E8</f>
        <v>55032</v>
      </c>
    </row>
    <row r="9" spans="1:6" outlineLevel="2" x14ac:dyDescent="0.3">
      <c r="A9" s="1"/>
      <c r="C9" s="2" t="s">
        <v>20</v>
      </c>
      <c r="E9" s="7">
        <f>SUBTOTAL(9,E4:E8)</f>
        <v>114</v>
      </c>
      <c r="F9" s="7">
        <f>SUBTOTAL(9,F4:F8)</f>
        <v>95325</v>
      </c>
    </row>
    <row r="10" spans="1:6" outlineLevel="3" x14ac:dyDescent="0.3">
      <c r="A10" s="1">
        <v>43737</v>
      </c>
      <c r="B10" t="s">
        <v>7</v>
      </c>
      <c r="C10" t="s">
        <v>11</v>
      </c>
      <c r="D10">
        <v>5000</v>
      </c>
      <c r="E10">
        <v>34</v>
      </c>
      <c r="F10">
        <f>D10*E10</f>
        <v>170000</v>
      </c>
    </row>
    <row r="11" spans="1:6" outlineLevel="3" x14ac:dyDescent="0.3">
      <c r="A11" s="1">
        <v>43737</v>
      </c>
      <c r="B11" t="s">
        <v>9</v>
      </c>
      <c r="C11" t="s">
        <v>11</v>
      </c>
      <c r="D11">
        <v>2143</v>
      </c>
      <c r="E11">
        <v>2</v>
      </c>
      <c r="F11">
        <f>D11*E11</f>
        <v>4286</v>
      </c>
    </row>
    <row r="12" spans="1:6" outlineLevel="3" x14ac:dyDescent="0.3">
      <c r="A12" s="1">
        <v>43737</v>
      </c>
      <c r="B12" t="s">
        <v>8</v>
      </c>
      <c r="C12" t="s">
        <v>11</v>
      </c>
      <c r="D12">
        <v>3599</v>
      </c>
      <c r="E12">
        <v>44</v>
      </c>
      <c r="F12">
        <f>D12*E12</f>
        <v>158356</v>
      </c>
    </row>
    <row r="13" spans="1:6" outlineLevel="2" x14ac:dyDescent="0.3">
      <c r="A13" s="1"/>
      <c r="C13" s="2" t="s">
        <v>21</v>
      </c>
      <c r="E13" s="7">
        <f>SUBTOTAL(9,E10:E12)</f>
        <v>80</v>
      </c>
      <c r="F13" s="7">
        <f>SUBTOTAL(9,F10:F12)</f>
        <v>332642</v>
      </c>
    </row>
    <row r="14" spans="1:6" outlineLevel="1" x14ac:dyDescent="0.3">
      <c r="A14" s="6" t="s">
        <v>17</v>
      </c>
      <c r="E14">
        <f>SUBTOTAL(9,E2:E12)</f>
        <v>228</v>
      </c>
      <c r="F14">
        <f>SUBTOTAL(9,F2:F12)</f>
        <v>433067</v>
      </c>
    </row>
    <row r="15" spans="1:6" outlineLevel="3" x14ac:dyDescent="0.3">
      <c r="A15" s="1">
        <v>43739</v>
      </c>
      <c r="B15" t="s">
        <v>6</v>
      </c>
      <c r="C15" t="s">
        <v>10</v>
      </c>
      <c r="D15">
        <v>150</v>
      </c>
      <c r="E15">
        <v>2</v>
      </c>
      <c r="F15">
        <f>D15*E15</f>
        <v>300</v>
      </c>
    </row>
    <row r="16" spans="1:6" outlineLevel="3" x14ac:dyDescent="0.3">
      <c r="A16" s="1">
        <v>43739</v>
      </c>
      <c r="B16" t="s">
        <v>9</v>
      </c>
      <c r="C16" t="s">
        <v>10</v>
      </c>
      <c r="D16">
        <v>123</v>
      </c>
      <c r="E16">
        <v>10</v>
      </c>
      <c r="F16">
        <f>D16*E16</f>
        <v>1230</v>
      </c>
    </row>
    <row r="17" spans="1:6" outlineLevel="3" x14ac:dyDescent="0.3">
      <c r="A17" s="1">
        <v>43739</v>
      </c>
      <c r="B17" t="s">
        <v>8</v>
      </c>
      <c r="C17" t="s">
        <v>10</v>
      </c>
      <c r="D17">
        <v>150</v>
      </c>
      <c r="E17">
        <v>56</v>
      </c>
      <c r="F17">
        <f>D17*E17</f>
        <v>8400</v>
      </c>
    </row>
    <row r="18" spans="1:6" outlineLevel="2" x14ac:dyDescent="0.3">
      <c r="A18" s="1"/>
      <c r="C18" s="2" t="s">
        <v>19</v>
      </c>
      <c r="E18" s="7">
        <f>SUBTOTAL(9,E15:E17)</f>
        <v>68</v>
      </c>
      <c r="F18" s="7">
        <f>SUBTOTAL(9,F15:F17)</f>
        <v>9930</v>
      </c>
    </row>
    <row r="19" spans="1:6" outlineLevel="3" x14ac:dyDescent="0.3">
      <c r="A19" s="1">
        <v>43739</v>
      </c>
      <c r="B19" t="s">
        <v>9</v>
      </c>
      <c r="C19" t="s">
        <v>14</v>
      </c>
      <c r="D19">
        <v>1.7</v>
      </c>
      <c r="E19">
        <v>35</v>
      </c>
      <c r="F19">
        <f>D19*E19</f>
        <v>59.5</v>
      </c>
    </row>
    <row r="20" spans="1:6" outlineLevel="3" x14ac:dyDescent="0.3">
      <c r="A20" s="1">
        <v>43739</v>
      </c>
      <c r="B20" t="s">
        <v>9</v>
      </c>
      <c r="C20" t="s">
        <v>14</v>
      </c>
      <c r="D20">
        <v>2</v>
      </c>
      <c r="E20">
        <v>32</v>
      </c>
      <c r="F20">
        <f>D20*E20</f>
        <v>64</v>
      </c>
    </row>
    <row r="21" spans="1:6" outlineLevel="3" x14ac:dyDescent="0.3">
      <c r="A21" s="1">
        <v>43739</v>
      </c>
      <c r="B21" t="s">
        <v>7</v>
      </c>
      <c r="C21" t="s">
        <v>14</v>
      </c>
      <c r="D21">
        <v>1.5</v>
      </c>
      <c r="E21">
        <v>3</v>
      </c>
      <c r="F21">
        <f>D21*E21</f>
        <v>4.5</v>
      </c>
    </row>
    <row r="22" spans="1:6" outlineLevel="2" x14ac:dyDescent="0.3">
      <c r="A22" s="1"/>
      <c r="C22" s="2" t="s">
        <v>22</v>
      </c>
      <c r="E22" s="7">
        <f>SUBTOTAL(9,E19:E21)</f>
        <v>70</v>
      </c>
      <c r="F22" s="7">
        <f>SUBTOTAL(9,F19:F21)</f>
        <v>128</v>
      </c>
    </row>
    <row r="23" spans="1:6" outlineLevel="3" x14ac:dyDescent="0.3">
      <c r="A23" s="1">
        <v>43739</v>
      </c>
      <c r="B23" t="s">
        <v>9</v>
      </c>
      <c r="C23" t="s">
        <v>13</v>
      </c>
      <c r="D23">
        <v>47</v>
      </c>
      <c r="E23">
        <v>7</v>
      </c>
      <c r="F23">
        <f>D23*E23</f>
        <v>329</v>
      </c>
    </row>
    <row r="24" spans="1:6" outlineLevel="3" x14ac:dyDescent="0.3">
      <c r="A24" s="1">
        <v>43739</v>
      </c>
      <c r="B24" t="s">
        <v>7</v>
      </c>
      <c r="C24" t="s">
        <v>13</v>
      </c>
      <c r="D24">
        <v>49</v>
      </c>
      <c r="E24">
        <v>33</v>
      </c>
      <c r="F24">
        <f>D24*E24</f>
        <v>1617</v>
      </c>
    </row>
    <row r="25" spans="1:6" outlineLevel="3" x14ac:dyDescent="0.3">
      <c r="A25" s="1">
        <v>43739</v>
      </c>
      <c r="B25" t="s">
        <v>6</v>
      </c>
      <c r="C25" t="s">
        <v>13</v>
      </c>
      <c r="D25">
        <v>49</v>
      </c>
      <c r="E25">
        <v>33</v>
      </c>
      <c r="F25">
        <f>D25*E25</f>
        <v>1617</v>
      </c>
    </row>
    <row r="26" spans="1:6" outlineLevel="2" x14ac:dyDescent="0.3">
      <c r="A26" s="1"/>
      <c r="C26" s="2" t="s">
        <v>23</v>
      </c>
      <c r="E26" s="7">
        <f>SUBTOTAL(9,E23:E25)</f>
        <v>73</v>
      </c>
      <c r="F26" s="7">
        <f>SUBTOTAL(9,F23:F25)</f>
        <v>3563</v>
      </c>
    </row>
    <row r="27" spans="1:6" outlineLevel="3" x14ac:dyDescent="0.3">
      <c r="A27" s="1">
        <v>43739</v>
      </c>
      <c r="B27" t="s">
        <v>6</v>
      </c>
      <c r="C27" t="s">
        <v>11</v>
      </c>
      <c r="D27">
        <v>4359</v>
      </c>
      <c r="E27">
        <v>6</v>
      </c>
      <c r="F27">
        <f>D27*E27</f>
        <v>26154</v>
      </c>
    </row>
    <row r="28" spans="1:6" outlineLevel="2" x14ac:dyDescent="0.3">
      <c r="A28" s="1"/>
      <c r="C28" s="2" t="s">
        <v>21</v>
      </c>
      <c r="E28" s="7">
        <f>SUBTOTAL(9,E27:E27)</f>
        <v>6</v>
      </c>
      <c r="F28" s="7">
        <f>SUBTOTAL(9,F27:F27)</f>
        <v>26154</v>
      </c>
    </row>
    <row r="29" spans="1:6" outlineLevel="1" x14ac:dyDescent="0.3">
      <c r="A29" s="5" t="s">
        <v>15</v>
      </c>
      <c r="E29">
        <f>SUBTOTAL(9,E15:E27)</f>
        <v>217</v>
      </c>
      <c r="F29">
        <f>SUBTOTAL(9,F15:F27)</f>
        <v>39775</v>
      </c>
    </row>
    <row r="30" spans="1:6" outlineLevel="3" x14ac:dyDescent="0.3">
      <c r="A30" s="1">
        <v>43742</v>
      </c>
      <c r="B30" t="s">
        <v>9</v>
      </c>
      <c r="C30" t="s">
        <v>10</v>
      </c>
      <c r="D30">
        <v>150</v>
      </c>
      <c r="E30">
        <v>3</v>
      </c>
      <c r="F30">
        <f>D30*E30</f>
        <v>450</v>
      </c>
    </row>
    <row r="31" spans="1:6" outlineLevel="2" x14ac:dyDescent="0.3">
      <c r="A31" s="1"/>
      <c r="C31" s="2" t="s">
        <v>19</v>
      </c>
      <c r="E31" s="7">
        <f>SUBTOTAL(9,E30:E30)</f>
        <v>3</v>
      </c>
      <c r="F31" s="7">
        <f>SUBTOTAL(9,F30:F30)</f>
        <v>450</v>
      </c>
    </row>
    <row r="32" spans="1:6" outlineLevel="3" x14ac:dyDescent="0.3">
      <c r="A32" s="1">
        <v>43742</v>
      </c>
      <c r="B32" t="s">
        <v>8</v>
      </c>
      <c r="C32" t="s">
        <v>14</v>
      </c>
      <c r="D32">
        <v>1.5</v>
      </c>
      <c r="E32">
        <v>25</v>
      </c>
      <c r="F32">
        <f>D32*E32</f>
        <v>37.5</v>
      </c>
    </row>
    <row r="33" spans="1:6" outlineLevel="3" x14ac:dyDescent="0.3">
      <c r="A33" s="1">
        <v>43742</v>
      </c>
      <c r="B33" t="s">
        <v>6</v>
      </c>
      <c r="C33" t="s">
        <v>14</v>
      </c>
      <c r="D33">
        <v>1.5</v>
      </c>
      <c r="E33">
        <v>234</v>
      </c>
      <c r="F33">
        <f>D33*E33</f>
        <v>351</v>
      </c>
    </row>
    <row r="34" spans="1:6" outlineLevel="3" x14ac:dyDescent="0.3">
      <c r="A34" s="1">
        <v>43742</v>
      </c>
      <c r="B34" t="s">
        <v>8</v>
      </c>
      <c r="C34" t="s">
        <v>14</v>
      </c>
      <c r="D34">
        <v>400</v>
      </c>
      <c r="E34">
        <v>24</v>
      </c>
      <c r="F34">
        <f>D34*E34</f>
        <v>9600</v>
      </c>
    </row>
    <row r="35" spans="1:6" outlineLevel="2" x14ac:dyDescent="0.3">
      <c r="A35" s="1"/>
      <c r="C35" s="2" t="s">
        <v>22</v>
      </c>
      <c r="E35" s="7">
        <f>SUBTOTAL(9,E32:E34)</f>
        <v>283</v>
      </c>
      <c r="F35" s="7">
        <f>SUBTOTAL(9,F32:F34)</f>
        <v>9988.5</v>
      </c>
    </row>
    <row r="36" spans="1:6" outlineLevel="3" x14ac:dyDescent="0.3">
      <c r="A36" s="1">
        <v>43742</v>
      </c>
      <c r="B36" t="s">
        <v>8</v>
      </c>
      <c r="C36" t="s">
        <v>12</v>
      </c>
      <c r="D36">
        <v>399</v>
      </c>
      <c r="E36">
        <v>4</v>
      </c>
      <c r="F36">
        <f>D36*E36</f>
        <v>1596</v>
      </c>
    </row>
    <row r="37" spans="1:6" outlineLevel="2" x14ac:dyDescent="0.3">
      <c r="A37" s="1"/>
      <c r="C37" s="2" t="s">
        <v>20</v>
      </c>
      <c r="E37" s="7">
        <f>SUBTOTAL(9,E36:E36)</f>
        <v>4</v>
      </c>
      <c r="F37" s="7">
        <f>SUBTOTAL(9,F36:F36)</f>
        <v>1596</v>
      </c>
    </row>
    <row r="38" spans="1:6" outlineLevel="3" x14ac:dyDescent="0.3">
      <c r="A38" s="1">
        <v>43742</v>
      </c>
      <c r="B38" t="s">
        <v>8</v>
      </c>
      <c r="C38" t="s">
        <v>13</v>
      </c>
      <c r="D38">
        <v>47</v>
      </c>
      <c r="E38">
        <v>23</v>
      </c>
      <c r="F38">
        <f>D38*E38</f>
        <v>1081</v>
      </c>
    </row>
    <row r="39" spans="1:6" outlineLevel="3" x14ac:dyDescent="0.3">
      <c r="A39" s="1">
        <v>43742</v>
      </c>
      <c r="B39" t="s">
        <v>8</v>
      </c>
      <c r="C39" t="s">
        <v>13</v>
      </c>
      <c r="D39">
        <v>243</v>
      </c>
      <c r="E39">
        <v>6</v>
      </c>
      <c r="F39">
        <f>D39*E39</f>
        <v>1458</v>
      </c>
    </row>
    <row r="40" spans="1:6" outlineLevel="3" x14ac:dyDescent="0.3">
      <c r="A40" s="1">
        <v>43742</v>
      </c>
      <c r="B40" t="s">
        <v>6</v>
      </c>
      <c r="C40" t="s">
        <v>13</v>
      </c>
      <c r="D40">
        <v>150</v>
      </c>
      <c r="E40">
        <v>22</v>
      </c>
      <c r="F40">
        <f>D40*E40</f>
        <v>3300</v>
      </c>
    </row>
    <row r="41" spans="1:6" outlineLevel="2" x14ac:dyDescent="0.3">
      <c r="A41" s="1"/>
      <c r="C41" s="2" t="s">
        <v>23</v>
      </c>
      <c r="E41" s="7">
        <f>SUBTOTAL(9,E38:E40)</f>
        <v>51</v>
      </c>
      <c r="F41" s="7">
        <f>SUBTOTAL(9,F38:F40)</f>
        <v>5839</v>
      </c>
    </row>
    <row r="42" spans="1:6" outlineLevel="3" x14ac:dyDescent="0.3">
      <c r="A42" s="1">
        <v>43742</v>
      </c>
      <c r="B42" t="s">
        <v>7</v>
      </c>
      <c r="C42" t="s">
        <v>11</v>
      </c>
      <c r="D42">
        <v>4359</v>
      </c>
      <c r="E42">
        <v>1</v>
      </c>
      <c r="F42">
        <f>D42*E42</f>
        <v>4359</v>
      </c>
    </row>
    <row r="43" spans="1:6" outlineLevel="3" x14ac:dyDescent="0.3">
      <c r="A43" s="1">
        <v>43742</v>
      </c>
      <c r="B43" t="s">
        <v>7</v>
      </c>
      <c r="C43" t="s">
        <v>11</v>
      </c>
      <c r="D43">
        <v>4586</v>
      </c>
      <c r="E43">
        <v>23</v>
      </c>
      <c r="F43">
        <f>D43*E43</f>
        <v>105478</v>
      </c>
    </row>
    <row r="44" spans="1:6" outlineLevel="2" x14ac:dyDescent="0.3">
      <c r="A44" s="1"/>
      <c r="C44" s="2" t="s">
        <v>21</v>
      </c>
      <c r="E44" s="7">
        <f>SUBTOTAL(9,E42:E43)</f>
        <v>24</v>
      </c>
      <c r="F44" s="7">
        <f>SUBTOTAL(9,F42:F43)</f>
        <v>109837</v>
      </c>
    </row>
    <row r="45" spans="1:6" outlineLevel="1" x14ac:dyDescent="0.3">
      <c r="A45" s="5" t="s">
        <v>16</v>
      </c>
      <c r="E45">
        <f>SUBTOTAL(9,E30:E43)</f>
        <v>365</v>
      </c>
      <c r="F45">
        <f>SUBTOTAL(9,F30:F43)</f>
        <v>127710.5</v>
      </c>
    </row>
    <row r="46" spans="1:6" x14ac:dyDescent="0.3">
      <c r="A46" s="5" t="s">
        <v>18</v>
      </c>
      <c r="E46">
        <f>SUBTOTAL(9,E2:E43)</f>
        <v>810</v>
      </c>
      <c r="F46">
        <f>SUBTOTAL(9,F2:F43)</f>
        <v>600552.5</v>
      </c>
    </row>
  </sheetData>
  <sortState ref="A2:F30">
    <sortCondition ref="A2:A30"/>
    <sortCondition ref="C2:C3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55"/>
  <sheetViews>
    <sheetView workbookViewId="0">
      <selection activeCell="I49" sqref="I49"/>
    </sheetView>
  </sheetViews>
  <sheetFormatPr defaultRowHeight="14.4" outlineLevelRow="3" x14ac:dyDescent="0.3"/>
  <cols>
    <col min="1" max="1" width="10.109375" bestFit="1" customWidth="1"/>
    <col min="2" max="2" width="14.6640625" bestFit="1" customWidth="1"/>
    <col min="3" max="3" width="13.21875" bestFit="1" customWidth="1"/>
    <col min="4" max="4" width="5" bestFit="1" customWidth="1"/>
    <col min="5" max="5" width="8.6640625" bestFit="1" customWidth="1"/>
    <col min="6" max="6" width="8.109375" bestFit="1" customWidth="1"/>
  </cols>
  <sheetData>
    <row r="1" spans="1:6" x14ac:dyDescent="0.3">
      <c r="A1" s="3" t="s">
        <v>0</v>
      </c>
      <c r="B1" s="3" t="s">
        <v>1</v>
      </c>
      <c r="C1" s="8" t="s">
        <v>2</v>
      </c>
      <c r="D1" s="3" t="s">
        <v>3</v>
      </c>
      <c r="E1" s="3" t="s">
        <v>4</v>
      </c>
      <c r="F1" s="3" t="s">
        <v>5</v>
      </c>
    </row>
    <row r="2" spans="1:6" outlineLevel="3" x14ac:dyDescent="0.3">
      <c r="A2" s="1">
        <v>43739</v>
      </c>
      <c r="B2" t="s">
        <v>6</v>
      </c>
      <c r="C2" t="s">
        <v>11</v>
      </c>
      <c r="D2">
        <v>4359</v>
      </c>
      <c r="E2">
        <v>6</v>
      </c>
      <c r="F2">
        <f>D2*E2</f>
        <v>26154</v>
      </c>
    </row>
    <row r="3" spans="1:6" outlineLevel="2" x14ac:dyDescent="0.3">
      <c r="A3" s="1"/>
      <c r="B3" s="2" t="s">
        <v>24</v>
      </c>
      <c r="E3" s="7">
        <f>SUBTOTAL(9,E2:E2)</f>
        <v>6</v>
      </c>
      <c r="F3" s="7">
        <f>SUBTOTAL(9,F2:F2)</f>
        <v>26154</v>
      </c>
    </row>
    <row r="4" spans="1:6" outlineLevel="3" x14ac:dyDescent="0.3">
      <c r="A4" s="1">
        <v>43737</v>
      </c>
      <c r="B4" t="s">
        <v>9</v>
      </c>
      <c r="C4" t="s">
        <v>11</v>
      </c>
      <c r="D4">
        <v>2143</v>
      </c>
      <c r="E4">
        <v>2</v>
      </c>
      <c r="F4">
        <f>D4*E4</f>
        <v>4286</v>
      </c>
    </row>
    <row r="5" spans="1:6" outlineLevel="2" x14ac:dyDescent="0.3">
      <c r="A5" s="1"/>
      <c r="B5" s="2" t="s">
        <v>25</v>
      </c>
      <c r="E5" s="7">
        <f>SUBTOTAL(9,E4:E4)</f>
        <v>2</v>
      </c>
      <c r="F5" s="7">
        <f>SUBTOTAL(9,F4:F4)</f>
        <v>4286</v>
      </c>
    </row>
    <row r="6" spans="1:6" outlineLevel="3" x14ac:dyDescent="0.3">
      <c r="A6" s="1">
        <v>43742</v>
      </c>
      <c r="B6" t="s">
        <v>7</v>
      </c>
      <c r="C6" t="s">
        <v>11</v>
      </c>
      <c r="D6">
        <v>4359</v>
      </c>
      <c r="E6">
        <v>1</v>
      </c>
      <c r="F6">
        <f>D6*E6</f>
        <v>4359</v>
      </c>
    </row>
    <row r="7" spans="1:6" outlineLevel="3" x14ac:dyDescent="0.3">
      <c r="A7" s="1">
        <v>43737</v>
      </c>
      <c r="B7" t="s">
        <v>7</v>
      </c>
      <c r="C7" t="s">
        <v>11</v>
      </c>
      <c r="D7">
        <v>5000</v>
      </c>
      <c r="E7">
        <v>34</v>
      </c>
      <c r="F7">
        <f>D7*E7</f>
        <v>170000</v>
      </c>
    </row>
    <row r="8" spans="1:6" outlineLevel="3" x14ac:dyDescent="0.3">
      <c r="A8" s="1">
        <v>43742</v>
      </c>
      <c r="B8" t="s">
        <v>7</v>
      </c>
      <c r="C8" t="s">
        <v>11</v>
      </c>
      <c r="D8">
        <v>4586</v>
      </c>
      <c r="E8">
        <v>23</v>
      </c>
      <c r="F8">
        <f>D8*E8</f>
        <v>105478</v>
      </c>
    </row>
    <row r="9" spans="1:6" outlineLevel="2" x14ac:dyDescent="0.3">
      <c r="A9" s="1"/>
      <c r="B9" s="2" t="s">
        <v>26</v>
      </c>
      <c r="E9" s="7">
        <f>SUBTOTAL(9,E6:E8)</f>
        <v>58</v>
      </c>
      <c r="F9" s="7">
        <f>SUBTOTAL(9,F6:F8)</f>
        <v>279837</v>
      </c>
    </row>
    <row r="10" spans="1:6" outlineLevel="3" x14ac:dyDescent="0.3">
      <c r="A10" s="1">
        <v>43737</v>
      </c>
      <c r="B10" t="s">
        <v>8</v>
      </c>
      <c r="C10" t="s">
        <v>11</v>
      </c>
      <c r="D10">
        <v>3599</v>
      </c>
      <c r="E10">
        <v>44</v>
      </c>
      <c r="F10">
        <f>D10*E10</f>
        <v>158356</v>
      </c>
    </row>
    <row r="11" spans="1:6" outlineLevel="2" x14ac:dyDescent="0.3">
      <c r="A11" s="1"/>
      <c r="B11" s="2" t="s">
        <v>27</v>
      </c>
      <c r="E11" s="7">
        <f>SUBTOTAL(9,E10:E10)</f>
        <v>44</v>
      </c>
      <c r="F11" s="7">
        <f>SUBTOTAL(9,F10:F10)</f>
        <v>158356</v>
      </c>
    </row>
    <row r="12" spans="1:6" outlineLevel="1" x14ac:dyDescent="0.3">
      <c r="A12" s="1"/>
      <c r="C12" s="2" t="s">
        <v>21</v>
      </c>
      <c r="E12" s="7">
        <f>SUBTOTAL(9,E2:E10)</f>
        <v>110</v>
      </c>
      <c r="F12" s="7">
        <f>SUBTOTAL(9,F2:F10)</f>
        <v>468633</v>
      </c>
    </row>
    <row r="13" spans="1:6" outlineLevel="3" x14ac:dyDescent="0.3">
      <c r="A13" s="1">
        <v>43739</v>
      </c>
      <c r="B13" t="s">
        <v>6</v>
      </c>
      <c r="C13" t="s">
        <v>13</v>
      </c>
      <c r="D13">
        <v>49</v>
      </c>
      <c r="E13">
        <v>33</v>
      </c>
      <c r="F13">
        <f>D13*E13</f>
        <v>1617</v>
      </c>
    </row>
    <row r="14" spans="1:6" outlineLevel="3" x14ac:dyDescent="0.3">
      <c r="A14" s="1">
        <v>43742</v>
      </c>
      <c r="B14" t="s">
        <v>6</v>
      </c>
      <c r="C14" t="s">
        <v>13</v>
      </c>
      <c r="D14">
        <v>150</v>
      </c>
      <c r="E14">
        <v>22</v>
      </c>
      <c r="F14">
        <f>D14*E14</f>
        <v>3300</v>
      </c>
    </row>
    <row r="15" spans="1:6" outlineLevel="2" x14ac:dyDescent="0.3">
      <c r="A15" s="1"/>
      <c r="B15" s="2" t="s">
        <v>24</v>
      </c>
      <c r="E15" s="7">
        <f>SUBTOTAL(9,E13:E14)</f>
        <v>55</v>
      </c>
      <c r="F15" s="7">
        <f>SUBTOTAL(9,F13:F14)</f>
        <v>4917</v>
      </c>
    </row>
    <row r="16" spans="1:6" outlineLevel="3" x14ac:dyDescent="0.3">
      <c r="A16" s="1">
        <v>43739</v>
      </c>
      <c r="B16" t="s">
        <v>9</v>
      </c>
      <c r="C16" t="s">
        <v>13</v>
      </c>
      <c r="D16">
        <v>47</v>
      </c>
      <c r="E16">
        <v>7</v>
      </c>
      <c r="F16">
        <f>D16*E16</f>
        <v>329</v>
      </c>
    </row>
    <row r="17" spans="1:6" outlineLevel="2" x14ac:dyDescent="0.3">
      <c r="A17" s="1"/>
      <c r="B17" s="2" t="s">
        <v>25</v>
      </c>
      <c r="E17" s="7">
        <f>SUBTOTAL(9,E16:E16)</f>
        <v>7</v>
      </c>
      <c r="F17" s="7">
        <f>SUBTOTAL(9,F16:F16)</f>
        <v>329</v>
      </c>
    </row>
    <row r="18" spans="1:6" outlineLevel="3" x14ac:dyDescent="0.3">
      <c r="A18" s="1">
        <v>43739</v>
      </c>
      <c r="B18" t="s">
        <v>7</v>
      </c>
      <c r="C18" t="s">
        <v>13</v>
      </c>
      <c r="D18">
        <v>49</v>
      </c>
      <c r="E18">
        <v>33</v>
      </c>
      <c r="F18">
        <f>D18*E18</f>
        <v>1617</v>
      </c>
    </row>
    <row r="19" spans="1:6" outlineLevel="2" x14ac:dyDescent="0.3">
      <c r="A19" s="1"/>
      <c r="B19" s="2" t="s">
        <v>26</v>
      </c>
      <c r="E19" s="7">
        <f>SUBTOTAL(9,E18:E18)</f>
        <v>33</v>
      </c>
      <c r="F19" s="7">
        <f>SUBTOTAL(9,F18:F18)</f>
        <v>1617</v>
      </c>
    </row>
    <row r="20" spans="1:6" outlineLevel="3" x14ac:dyDescent="0.3">
      <c r="A20" s="1">
        <v>43742</v>
      </c>
      <c r="B20" t="s">
        <v>8</v>
      </c>
      <c r="C20" t="s">
        <v>13</v>
      </c>
      <c r="D20">
        <v>47</v>
      </c>
      <c r="E20">
        <v>23</v>
      </c>
      <c r="F20">
        <f>D20*E20</f>
        <v>1081</v>
      </c>
    </row>
    <row r="21" spans="1:6" outlineLevel="3" x14ac:dyDescent="0.3">
      <c r="A21" s="1">
        <v>43742</v>
      </c>
      <c r="B21" t="s">
        <v>8</v>
      </c>
      <c r="C21" t="s">
        <v>13</v>
      </c>
      <c r="D21">
        <v>243</v>
      </c>
      <c r="E21">
        <v>6</v>
      </c>
      <c r="F21">
        <f>D21*E21</f>
        <v>1458</v>
      </c>
    </row>
    <row r="22" spans="1:6" outlineLevel="2" x14ac:dyDescent="0.3">
      <c r="A22" s="1"/>
      <c r="B22" s="2" t="s">
        <v>27</v>
      </c>
      <c r="E22" s="7">
        <f>SUBTOTAL(9,E20:E21)</f>
        <v>29</v>
      </c>
      <c r="F22" s="7">
        <f>SUBTOTAL(9,F20:F21)</f>
        <v>2539</v>
      </c>
    </row>
    <row r="23" spans="1:6" outlineLevel="1" x14ac:dyDescent="0.3">
      <c r="A23" s="1"/>
      <c r="C23" s="2" t="s">
        <v>23</v>
      </c>
      <c r="E23" s="7">
        <f>SUBTOTAL(9,E13:E21)</f>
        <v>124</v>
      </c>
      <c r="F23" s="7">
        <f>SUBTOTAL(9,F13:F21)</f>
        <v>9402</v>
      </c>
    </row>
    <row r="24" spans="1:6" outlineLevel="3" x14ac:dyDescent="0.3">
      <c r="A24" s="1">
        <v>43737</v>
      </c>
      <c r="B24" t="s">
        <v>6</v>
      </c>
      <c r="C24" t="s">
        <v>12</v>
      </c>
      <c r="D24">
        <v>400</v>
      </c>
      <c r="E24">
        <v>45</v>
      </c>
      <c r="F24">
        <f>D24*E24</f>
        <v>18000</v>
      </c>
    </row>
    <row r="25" spans="1:6" outlineLevel="2" x14ac:dyDescent="0.3">
      <c r="A25" s="1"/>
      <c r="B25" s="2" t="s">
        <v>24</v>
      </c>
      <c r="E25" s="7">
        <f>SUBTOTAL(9,E24:E24)</f>
        <v>45</v>
      </c>
      <c r="F25" s="7">
        <f>SUBTOTAL(9,F24:F24)</f>
        <v>18000</v>
      </c>
    </row>
    <row r="26" spans="1:6" outlineLevel="3" x14ac:dyDescent="0.3">
      <c r="A26" s="1">
        <v>43737</v>
      </c>
      <c r="B26" t="s">
        <v>9</v>
      </c>
      <c r="C26" t="s">
        <v>12</v>
      </c>
      <c r="D26">
        <v>358</v>
      </c>
      <c r="E26">
        <v>12</v>
      </c>
      <c r="F26">
        <f>D26*E26</f>
        <v>4296</v>
      </c>
    </row>
    <row r="27" spans="1:6" outlineLevel="3" x14ac:dyDescent="0.3">
      <c r="A27" s="1">
        <v>43737</v>
      </c>
      <c r="B27" t="s">
        <v>9</v>
      </c>
      <c r="C27" t="s">
        <v>12</v>
      </c>
      <c r="D27">
        <v>400</v>
      </c>
      <c r="E27">
        <v>42</v>
      </c>
      <c r="F27">
        <f>D27*E27</f>
        <v>16800</v>
      </c>
    </row>
    <row r="28" spans="1:6" outlineLevel="2" x14ac:dyDescent="0.3">
      <c r="A28" s="1"/>
      <c r="B28" s="2" t="s">
        <v>25</v>
      </c>
      <c r="E28" s="7">
        <f>SUBTOTAL(9,E26:E27)</f>
        <v>54</v>
      </c>
      <c r="F28" s="7">
        <f>SUBTOTAL(9,F26:F27)</f>
        <v>21096</v>
      </c>
    </row>
    <row r="29" spans="1:6" outlineLevel="3" x14ac:dyDescent="0.3">
      <c r="A29" s="1">
        <v>43737</v>
      </c>
      <c r="B29" t="s">
        <v>7</v>
      </c>
      <c r="C29" t="s">
        <v>12</v>
      </c>
      <c r="D29">
        <v>4586</v>
      </c>
      <c r="E29">
        <v>12</v>
      </c>
      <c r="F29">
        <f>D29*E29</f>
        <v>55032</v>
      </c>
    </row>
    <row r="30" spans="1:6" outlineLevel="2" x14ac:dyDescent="0.3">
      <c r="A30" s="1"/>
      <c r="B30" s="2" t="s">
        <v>26</v>
      </c>
      <c r="E30" s="7">
        <f>SUBTOTAL(9,E29:E29)</f>
        <v>12</v>
      </c>
      <c r="F30" s="7">
        <f>SUBTOTAL(9,F29:F29)</f>
        <v>55032</v>
      </c>
    </row>
    <row r="31" spans="1:6" outlineLevel="3" x14ac:dyDescent="0.3">
      <c r="A31" s="1">
        <v>43737</v>
      </c>
      <c r="B31" t="s">
        <v>8</v>
      </c>
      <c r="C31" t="s">
        <v>12</v>
      </c>
      <c r="D31">
        <v>399</v>
      </c>
      <c r="E31">
        <v>3</v>
      </c>
      <c r="F31">
        <f>D31*E31</f>
        <v>1197</v>
      </c>
    </row>
    <row r="32" spans="1:6" outlineLevel="3" x14ac:dyDescent="0.3">
      <c r="A32" s="1">
        <v>43742</v>
      </c>
      <c r="B32" t="s">
        <v>8</v>
      </c>
      <c r="C32" t="s">
        <v>12</v>
      </c>
      <c r="D32">
        <v>399</v>
      </c>
      <c r="E32">
        <v>4</v>
      </c>
      <c r="F32">
        <f>D32*E32</f>
        <v>1596</v>
      </c>
    </row>
    <row r="33" spans="1:6" outlineLevel="2" x14ac:dyDescent="0.3">
      <c r="A33" s="1"/>
      <c r="B33" s="2" t="s">
        <v>27</v>
      </c>
      <c r="E33" s="7">
        <f>SUBTOTAL(9,E31:E32)</f>
        <v>7</v>
      </c>
      <c r="F33" s="7">
        <f>SUBTOTAL(9,F31:F32)</f>
        <v>2793</v>
      </c>
    </row>
    <row r="34" spans="1:6" outlineLevel="1" x14ac:dyDescent="0.3">
      <c r="A34" s="1"/>
      <c r="C34" s="2" t="s">
        <v>20</v>
      </c>
      <c r="E34" s="7">
        <f>SUBTOTAL(9,E24:E32)</f>
        <v>118</v>
      </c>
      <c r="F34" s="7">
        <f>SUBTOTAL(9,F24:F32)</f>
        <v>96921</v>
      </c>
    </row>
    <row r="35" spans="1:6" outlineLevel="3" x14ac:dyDescent="0.3">
      <c r="A35" s="1">
        <v>43742</v>
      </c>
      <c r="B35" t="s">
        <v>6</v>
      </c>
      <c r="C35" t="s">
        <v>14</v>
      </c>
      <c r="D35">
        <v>1.5</v>
      </c>
      <c r="E35">
        <v>234</v>
      </c>
      <c r="F35">
        <f>D35*E35</f>
        <v>351</v>
      </c>
    </row>
    <row r="36" spans="1:6" outlineLevel="2" x14ac:dyDescent="0.3">
      <c r="A36" s="1"/>
      <c r="B36" s="2" t="s">
        <v>24</v>
      </c>
      <c r="E36" s="7">
        <f>SUBTOTAL(9,E35:E35)</f>
        <v>234</v>
      </c>
      <c r="F36" s="7">
        <f>SUBTOTAL(9,F35:F35)</f>
        <v>351</v>
      </c>
    </row>
    <row r="37" spans="1:6" outlineLevel="3" x14ac:dyDescent="0.3">
      <c r="A37" s="1">
        <v>43739</v>
      </c>
      <c r="B37" t="s">
        <v>9</v>
      </c>
      <c r="C37" t="s">
        <v>14</v>
      </c>
      <c r="D37">
        <v>1.7</v>
      </c>
      <c r="E37">
        <v>35</v>
      </c>
      <c r="F37">
        <f>D37*E37</f>
        <v>59.5</v>
      </c>
    </row>
    <row r="38" spans="1:6" outlineLevel="3" x14ac:dyDescent="0.3">
      <c r="A38" s="1">
        <v>43739</v>
      </c>
      <c r="B38" t="s">
        <v>9</v>
      </c>
      <c r="C38" t="s">
        <v>14</v>
      </c>
      <c r="D38">
        <v>2</v>
      </c>
      <c r="E38">
        <v>32</v>
      </c>
      <c r="F38">
        <f>D38*E38</f>
        <v>64</v>
      </c>
    </row>
    <row r="39" spans="1:6" outlineLevel="2" x14ac:dyDescent="0.3">
      <c r="A39" s="1"/>
      <c r="B39" s="2" t="s">
        <v>25</v>
      </c>
      <c r="E39" s="7">
        <f>SUBTOTAL(9,E37:E38)</f>
        <v>67</v>
      </c>
      <c r="F39" s="7">
        <f>SUBTOTAL(9,F37:F38)</f>
        <v>123.5</v>
      </c>
    </row>
    <row r="40" spans="1:6" outlineLevel="3" x14ac:dyDescent="0.3">
      <c r="A40" s="1">
        <v>43739</v>
      </c>
      <c r="B40" t="s">
        <v>7</v>
      </c>
      <c r="C40" t="s">
        <v>14</v>
      </c>
      <c r="D40">
        <v>1.5</v>
      </c>
      <c r="E40">
        <v>3</v>
      </c>
      <c r="F40">
        <f>D40*E40</f>
        <v>4.5</v>
      </c>
    </row>
    <row r="41" spans="1:6" outlineLevel="2" x14ac:dyDescent="0.3">
      <c r="A41" s="1"/>
      <c r="B41" s="2" t="s">
        <v>26</v>
      </c>
      <c r="E41" s="7">
        <f>SUBTOTAL(9,E40:E40)</f>
        <v>3</v>
      </c>
      <c r="F41" s="7">
        <f>SUBTOTAL(9,F40:F40)</f>
        <v>4.5</v>
      </c>
    </row>
    <row r="42" spans="1:6" outlineLevel="3" x14ac:dyDescent="0.3">
      <c r="A42" s="1">
        <v>43742</v>
      </c>
      <c r="B42" t="s">
        <v>8</v>
      </c>
      <c r="C42" t="s">
        <v>14</v>
      </c>
      <c r="D42">
        <v>1.5</v>
      </c>
      <c r="E42">
        <v>25</v>
      </c>
      <c r="F42">
        <f>D42*E42</f>
        <v>37.5</v>
      </c>
    </row>
    <row r="43" spans="1:6" outlineLevel="3" x14ac:dyDescent="0.3">
      <c r="A43" s="1">
        <v>43742</v>
      </c>
      <c r="B43" t="s">
        <v>8</v>
      </c>
      <c r="C43" t="s">
        <v>14</v>
      </c>
      <c r="D43">
        <v>400</v>
      </c>
      <c r="E43">
        <v>24</v>
      </c>
      <c r="F43">
        <f>D43*E43</f>
        <v>9600</v>
      </c>
    </row>
    <row r="44" spans="1:6" outlineLevel="2" x14ac:dyDescent="0.3">
      <c r="A44" s="1"/>
      <c r="B44" s="2" t="s">
        <v>27</v>
      </c>
      <c r="E44" s="7">
        <f>SUBTOTAL(9,E42:E43)</f>
        <v>49</v>
      </c>
      <c r="F44" s="7">
        <f>SUBTOTAL(9,F42:F43)</f>
        <v>9637.5</v>
      </c>
    </row>
    <row r="45" spans="1:6" outlineLevel="1" x14ac:dyDescent="0.3">
      <c r="A45" s="1"/>
      <c r="C45" s="2" t="s">
        <v>22</v>
      </c>
      <c r="E45" s="7">
        <f>SUBTOTAL(9,E35:E43)</f>
        <v>353</v>
      </c>
      <c r="F45" s="7">
        <f>SUBTOTAL(9,F35:F43)</f>
        <v>10116.5</v>
      </c>
    </row>
    <row r="46" spans="1:6" outlineLevel="3" x14ac:dyDescent="0.3">
      <c r="A46" s="1">
        <v>43739</v>
      </c>
      <c r="B46" t="s">
        <v>6</v>
      </c>
      <c r="C46" t="s">
        <v>10</v>
      </c>
      <c r="D46">
        <v>150</v>
      </c>
      <c r="E46">
        <v>2</v>
      </c>
      <c r="F46">
        <f>D46*E46</f>
        <v>300</v>
      </c>
    </row>
    <row r="47" spans="1:6" outlineLevel="2" x14ac:dyDescent="0.3">
      <c r="A47" s="1"/>
      <c r="B47" s="2" t="s">
        <v>24</v>
      </c>
      <c r="E47" s="7">
        <f>SUBTOTAL(9,E46:E46)</f>
        <v>2</v>
      </c>
      <c r="F47" s="7">
        <f>SUBTOTAL(9,F46:F46)</f>
        <v>300</v>
      </c>
    </row>
    <row r="48" spans="1:6" outlineLevel="3" x14ac:dyDescent="0.3">
      <c r="A48" s="1">
        <v>43739</v>
      </c>
      <c r="B48" t="s">
        <v>9</v>
      </c>
      <c r="C48" t="s">
        <v>10</v>
      </c>
      <c r="D48">
        <v>123</v>
      </c>
      <c r="E48">
        <v>10</v>
      </c>
      <c r="F48">
        <f>D48*E48</f>
        <v>1230</v>
      </c>
    </row>
    <row r="49" spans="1:6" outlineLevel="3" x14ac:dyDescent="0.3">
      <c r="A49" s="1">
        <v>43742</v>
      </c>
      <c r="B49" t="s">
        <v>9</v>
      </c>
      <c r="C49" t="s">
        <v>10</v>
      </c>
      <c r="D49">
        <v>150</v>
      </c>
      <c r="E49">
        <v>3</v>
      </c>
      <c r="F49">
        <f>D49*E49</f>
        <v>450</v>
      </c>
    </row>
    <row r="50" spans="1:6" outlineLevel="2" x14ac:dyDescent="0.3">
      <c r="A50" s="1"/>
      <c r="B50" s="2" t="s">
        <v>25</v>
      </c>
      <c r="E50" s="7">
        <f>SUBTOTAL(9,E48:E49)</f>
        <v>13</v>
      </c>
      <c r="F50" s="7">
        <f>SUBTOTAL(9,F48:F49)</f>
        <v>1680</v>
      </c>
    </row>
    <row r="51" spans="1:6" outlineLevel="3" x14ac:dyDescent="0.3">
      <c r="A51" s="1">
        <v>43739</v>
      </c>
      <c r="B51" t="s">
        <v>8</v>
      </c>
      <c r="C51" t="s">
        <v>10</v>
      </c>
      <c r="D51">
        <v>150</v>
      </c>
      <c r="E51">
        <v>56</v>
      </c>
      <c r="F51">
        <f>D51*E51</f>
        <v>8400</v>
      </c>
    </row>
    <row r="52" spans="1:6" outlineLevel="3" x14ac:dyDescent="0.3">
      <c r="A52" s="1">
        <v>43737</v>
      </c>
      <c r="B52" t="s">
        <v>8</v>
      </c>
      <c r="C52" t="s">
        <v>10</v>
      </c>
      <c r="D52">
        <v>150</v>
      </c>
      <c r="E52">
        <v>34</v>
      </c>
      <c r="F52">
        <f>D52*E52</f>
        <v>5100</v>
      </c>
    </row>
    <row r="53" spans="1:6" outlineLevel="2" x14ac:dyDescent="0.3">
      <c r="A53" s="1"/>
      <c r="B53" s="2" t="s">
        <v>27</v>
      </c>
      <c r="E53" s="7">
        <f>SUBTOTAL(9,E51:E52)</f>
        <v>90</v>
      </c>
      <c r="F53" s="7">
        <f>SUBTOTAL(9,F51:F52)</f>
        <v>13500</v>
      </c>
    </row>
    <row r="54" spans="1:6" outlineLevel="1" x14ac:dyDescent="0.3">
      <c r="A54" s="1"/>
      <c r="C54" s="2" t="s">
        <v>19</v>
      </c>
      <c r="E54">
        <f>SUBTOTAL(9,E46:E52)</f>
        <v>105</v>
      </c>
      <c r="F54">
        <f>SUBTOTAL(9,F46:F52)</f>
        <v>15480</v>
      </c>
    </row>
    <row r="55" spans="1:6" x14ac:dyDescent="0.3">
      <c r="A55" s="1"/>
      <c r="C55" s="2" t="s">
        <v>18</v>
      </c>
      <c r="E55">
        <f>SUBTOTAL(9,E2:E52)</f>
        <v>810</v>
      </c>
      <c r="F55">
        <f>SUBTOTAL(9,F2:F52)</f>
        <v>600552.5</v>
      </c>
    </row>
  </sheetData>
  <sortState ref="A2:F30">
    <sortCondition descending="1" ref="C2:C30"/>
    <sortCondition ref="B2:B3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Лист4</vt:lpstr>
      <vt:lpstr>Лист5</vt:lpstr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DIMA</cp:lastModifiedBy>
  <dcterms:created xsi:type="dcterms:W3CDTF">2019-10-01T19:01:13Z</dcterms:created>
  <dcterms:modified xsi:type="dcterms:W3CDTF">2019-10-06T08:54:24Z</dcterms:modified>
</cp:coreProperties>
</file>